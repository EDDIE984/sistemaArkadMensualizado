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DMINISTRATIVO\Documents\ADMINISTRATIVA FINANCIERA\"/>
    </mc:Choice>
  </mc:AlternateContent>
  <xr:revisionPtr revIDLastSave="0" documentId="13_ncr:1_{A25084F2-3D98-4422-9A72-E9DDF5774191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TARIFICACIÓN" sheetId="8" state="hidden" r:id="rId1"/>
    <sheet name="COTIZACIÓN" sheetId="6" r:id="rId2"/>
    <sheet name="MODELO MENSUALIZADO" sheetId="7" r:id="rId3"/>
    <sheet name="PARAMETRIZACIÓN" sheetId="9" r:id="rId4"/>
    <sheet name="RIESGO - MARCAS" sheetId="2" r:id="rId5"/>
    <sheet name="RIESGO - CIUDADES" sheetId="3" r:id="rId6"/>
    <sheet name="RIESGO - GENERO" sheetId="4" r:id="rId7"/>
    <sheet name="USO DEL VH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7" l="1"/>
  <c r="G62" i="7" s="1"/>
  <c r="D10" i="7"/>
  <c r="D9" i="7"/>
  <c r="D8" i="7"/>
  <c r="C10" i="7"/>
  <c r="C9" i="7"/>
  <c r="C8" i="7"/>
  <c r="D7" i="7"/>
  <c r="D6" i="7"/>
  <c r="C7" i="7"/>
  <c r="C6" i="7"/>
  <c r="X8" i="6"/>
  <c r="P16" i="6"/>
  <c r="P27" i="6"/>
  <c r="J14" i="6" s="1"/>
  <c r="D28" i="6" s="1"/>
  <c r="P19" i="6"/>
  <c r="P18" i="6"/>
  <c r="P17" i="6"/>
  <c r="P15" i="6"/>
  <c r="P14" i="6"/>
  <c r="P13" i="6"/>
  <c r="P12" i="6"/>
  <c r="G73" i="7" l="1"/>
  <c r="G68" i="7"/>
  <c r="G69" i="7"/>
  <c r="G72" i="7"/>
  <c r="G71" i="7"/>
  <c r="G70" i="7"/>
  <c r="G64" i="7"/>
  <c r="G63" i="7"/>
  <c r="G67" i="7"/>
  <c r="G66" i="7"/>
  <c r="G65" i="7"/>
  <c r="D30" i="6"/>
  <c r="P20" i="6" a="1"/>
  <c r="P20" i="6" s="1"/>
  <c r="I11" i="6" s="1"/>
  <c r="H6" i="7" s="1"/>
  <c r="G60" i="7"/>
  <c r="E6" i="7"/>
  <c r="G25" i="7"/>
  <c r="G24" i="7"/>
  <c r="G23" i="7"/>
  <c r="G22" i="7"/>
  <c r="G21" i="7"/>
  <c r="G20" i="7"/>
  <c r="G19" i="7"/>
  <c r="G18" i="7"/>
  <c r="G17" i="7"/>
  <c r="G16" i="7"/>
  <c r="G15" i="7"/>
  <c r="G14" i="7"/>
  <c r="C14" i="7" l="1"/>
  <c r="F6" i="7"/>
  <c r="E7" i="7" s="1"/>
  <c r="G41" i="7"/>
  <c r="G47" i="7"/>
  <c r="B26" i="7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G39" i="7"/>
  <c r="G40" i="7"/>
  <c r="G61" i="7"/>
  <c r="G26" i="7"/>
  <c r="G48" i="7"/>
  <c r="G27" i="7"/>
  <c r="G49" i="7"/>
  <c r="G28" i="7"/>
  <c r="G50" i="7"/>
  <c r="G29" i="7"/>
  <c r="G51" i="7"/>
  <c r="G35" i="7"/>
  <c r="G52" i="7"/>
  <c r="G36" i="7"/>
  <c r="G53" i="7"/>
  <c r="G37" i="7"/>
  <c r="G54" i="7"/>
  <c r="G38" i="7"/>
  <c r="G59" i="7"/>
  <c r="G56" i="7"/>
  <c r="G30" i="7"/>
  <c r="G42" i="7"/>
  <c r="G31" i="7"/>
  <c r="G43" i="7"/>
  <c r="G55" i="7"/>
  <c r="G32" i="7"/>
  <c r="G44" i="7"/>
  <c r="G33" i="7"/>
  <c r="G45" i="7"/>
  <c r="G57" i="7"/>
  <c r="G34" i="7"/>
  <c r="G46" i="7"/>
  <c r="G58" i="7"/>
  <c r="D14" i="7"/>
  <c r="F14" i="7" s="1"/>
  <c r="C26" i="7" l="1"/>
  <c r="D26" i="7" s="1"/>
  <c r="F7" i="7"/>
  <c r="G7" i="7"/>
  <c r="G6" i="7"/>
  <c r="C15" i="7" s="1"/>
  <c r="D15" i="7" s="1"/>
  <c r="E14" i="7"/>
  <c r="H14" i="7" s="1"/>
  <c r="I14" i="7" s="1"/>
  <c r="J14" i="7" s="1"/>
  <c r="C27" i="7" l="1"/>
  <c r="C28" i="7" s="1"/>
  <c r="C16" i="7"/>
  <c r="C17" i="7" s="1"/>
  <c r="E8" i="7"/>
  <c r="F15" i="7"/>
  <c r="E15" i="7"/>
  <c r="F26" i="7"/>
  <c r="E26" i="7"/>
  <c r="D27" i="7" l="1"/>
  <c r="F8" i="7"/>
  <c r="G8" i="7" s="1"/>
  <c r="D16" i="7"/>
  <c r="F16" i="7" s="1"/>
  <c r="H15" i="7"/>
  <c r="I15" i="7" s="1"/>
  <c r="J15" i="7" s="1"/>
  <c r="C38" i="7"/>
  <c r="H26" i="7"/>
  <c r="I26" i="7" s="1"/>
  <c r="J26" i="7" s="1"/>
  <c r="D17" i="7"/>
  <c r="C18" i="7"/>
  <c r="F27" i="7"/>
  <c r="E27" i="7"/>
  <c r="D28" i="7"/>
  <c r="C29" i="7"/>
  <c r="H27" i="7" l="1"/>
  <c r="I27" i="7" s="1"/>
  <c r="J27" i="7" s="1"/>
  <c r="E9" i="7"/>
  <c r="F9" i="7" s="1"/>
  <c r="C39" i="7"/>
  <c r="D39" i="7" s="1"/>
  <c r="E16" i="7"/>
  <c r="H16" i="7" s="1"/>
  <c r="I16" i="7" s="1"/>
  <c r="J16" i="7" s="1"/>
  <c r="D38" i="7"/>
  <c r="E38" i="7" s="1"/>
  <c r="C19" i="7"/>
  <c r="D18" i="7"/>
  <c r="F17" i="7"/>
  <c r="E17" i="7"/>
  <c r="D29" i="7"/>
  <c r="C30" i="7"/>
  <c r="E28" i="7"/>
  <c r="F28" i="7"/>
  <c r="C50" i="7" l="1"/>
  <c r="D50" i="7" s="1"/>
  <c r="C40" i="7"/>
  <c r="C41" i="7" s="1"/>
  <c r="G9" i="7"/>
  <c r="C51" i="7" s="1"/>
  <c r="E10" i="7"/>
  <c r="F10" i="7" s="1"/>
  <c r="H17" i="7"/>
  <c r="I17" i="7" s="1"/>
  <c r="J17" i="7" s="1"/>
  <c r="F38" i="7"/>
  <c r="H38" i="7" s="1"/>
  <c r="I38" i="7" s="1"/>
  <c r="J38" i="7" s="1"/>
  <c r="H28" i="7"/>
  <c r="I28" i="7" s="1"/>
  <c r="J28" i="7" s="1"/>
  <c r="E18" i="7"/>
  <c r="F18" i="7"/>
  <c r="D19" i="7"/>
  <c r="C20" i="7"/>
  <c r="F39" i="7"/>
  <c r="E39" i="7"/>
  <c r="C31" i="7"/>
  <c r="D30" i="7"/>
  <c r="F29" i="7"/>
  <c r="E29" i="7"/>
  <c r="D40" i="7" l="1"/>
  <c r="F40" i="7" s="1"/>
  <c r="H39" i="7"/>
  <c r="I39" i="7" s="1"/>
  <c r="J39" i="7" s="1"/>
  <c r="G10" i="7"/>
  <c r="C62" i="7"/>
  <c r="H18" i="7"/>
  <c r="I18" i="7" s="1"/>
  <c r="J18" i="7" s="1"/>
  <c r="H29" i="7"/>
  <c r="I29" i="7" s="1"/>
  <c r="J29" i="7" s="1"/>
  <c r="F50" i="7"/>
  <c r="E50" i="7"/>
  <c r="D20" i="7"/>
  <c r="C21" i="7"/>
  <c r="F30" i="7"/>
  <c r="E30" i="7"/>
  <c r="F19" i="7"/>
  <c r="E19" i="7"/>
  <c r="D31" i="7"/>
  <c r="C32" i="7"/>
  <c r="C52" i="7"/>
  <c r="D51" i="7"/>
  <c r="C42" i="7"/>
  <c r="D41" i="7"/>
  <c r="E40" i="7" l="1"/>
  <c r="D62" i="7"/>
  <c r="C63" i="7"/>
  <c r="H50" i="7"/>
  <c r="I50" i="7" s="1"/>
  <c r="J50" i="7" s="1"/>
  <c r="H40" i="7"/>
  <c r="I40" i="7" s="1"/>
  <c r="J40" i="7" s="1"/>
  <c r="H19" i="7"/>
  <c r="I19" i="7" s="1"/>
  <c r="J19" i="7" s="1"/>
  <c r="H30" i="7"/>
  <c r="I30" i="7" s="1"/>
  <c r="J30" i="7" s="1"/>
  <c r="C43" i="7"/>
  <c r="D42" i="7"/>
  <c r="F51" i="7"/>
  <c r="E51" i="7"/>
  <c r="C22" i="7"/>
  <c r="D21" i="7"/>
  <c r="D52" i="7"/>
  <c r="C53" i="7"/>
  <c r="F20" i="7"/>
  <c r="E20" i="7"/>
  <c r="C33" i="7"/>
  <c r="D32" i="7"/>
  <c r="F31" i="7"/>
  <c r="E31" i="7"/>
  <c r="F41" i="7"/>
  <c r="E41" i="7"/>
  <c r="H41" i="7" l="1"/>
  <c r="E62" i="7"/>
  <c r="F62" i="7"/>
  <c r="C64" i="7"/>
  <c r="D63" i="7"/>
  <c r="H20" i="7"/>
  <c r="I20" i="7" s="1"/>
  <c r="J20" i="7" s="1"/>
  <c r="H31" i="7"/>
  <c r="I31" i="7" s="1"/>
  <c r="J31" i="7" s="1"/>
  <c r="H51" i="7"/>
  <c r="I51" i="7" s="1"/>
  <c r="J51" i="7" s="1"/>
  <c r="I41" i="7"/>
  <c r="J41" i="7" s="1"/>
  <c r="D22" i="7"/>
  <c r="C23" i="7"/>
  <c r="E32" i="7"/>
  <c r="F32" i="7"/>
  <c r="F42" i="7"/>
  <c r="E42" i="7"/>
  <c r="D33" i="7"/>
  <c r="C34" i="7"/>
  <c r="D43" i="7"/>
  <c r="C44" i="7"/>
  <c r="C54" i="7"/>
  <c r="D53" i="7"/>
  <c r="E52" i="7"/>
  <c r="F52" i="7"/>
  <c r="E21" i="7"/>
  <c r="F21" i="7"/>
  <c r="H62" i="7" l="1"/>
  <c r="I62" i="7" s="1"/>
  <c r="F63" i="7"/>
  <c r="E63" i="7"/>
  <c r="D64" i="7"/>
  <c r="C65" i="7"/>
  <c r="H52" i="7"/>
  <c r="I52" i="7" s="1"/>
  <c r="J52" i="7" s="1"/>
  <c r="H32" i="7"/>
  <c r="I32" i="7" s="1"/>
  <c r="J32" i="7" s="1"/>
  <c r="H21" i="7"/>
  <c r="H42" i="7"/>
  <c r="I42" i="7" s="1"/>
  <c r="F53" i="7"/>
  <c r="E53" i="7"/>
  <c r="C24" i="7"/>
  <c r="D23" i="7"/>
  <c r="C55" i="7"/>
  <c r="D54" i="7"/>
  <c r="F22" i="7"/>
  <c r="E22" i="7"/>
  <c r="C45" i="7"/>
  <c r="D44" i="7"/>
  <c r="F43" i="7"/>
  <c r="E43" i="7"/>
  <c r="D34" i="7"/>
  <c r="C35" i="7"/>
  <c r="F33" i="7"/>
  <c r="E33" i="7"/>
  <c r="J62" i="7" l="1"/>
  <c r="H63" i="7"/>
  <c r="I63" i="7" s="1"/>
  <c r="J63" i="7" s="1"/>
  <c r="E64" i="7"/>
  <c r="F64" i="7"/>
  <c r="C66" i="7"/>
  <c r="D65" i="7"/>
  <c r="H53" i="7"/>
  <c r="I53" i="7" s="1"/>
  <c r="J53" i="7" s="1"/>
  <c r="H43" i="7"/>
  <c r="I43" i="7" s="1"/>
  <c r="J43" i="7" s="1"/>
  <c r="H22" i="7"/>
  <c r="I22" i="7" s="1"/>
  <c r="J22" i="7" s="1"/>
  <c r="H33" i="7"/>
  <c r="I33" i="7" s="1"/>
  <c r="J33" i="7" s="1"/>
  <c r="I21" i="7"/>
  <c r="J21" i="7" s="1"/>
  <c r="J42" i="7"/>
  <c r="C25" i="7"/>
  <c r="D25" i="7" s="1"/>
  <c r="D24" i="7"/>
  <c r="F44" i="7"/>
  <c r="E44" i="7"/>
  <c r="C46" i="7"/>
  <c r="D45" i="7"/>
  <c r="E34" i="7"/>
  <c r="F34" i="7"/>
  <c r="F54" i="7"/>
  <c r="E54" i="7"/>
  <c r="C56" i="7"/>
  <c r="D55" i="7"/>
  <c r="C36" i="7"/>
  <c r="D35" i="7"/>
  <c r="F23" i="7"/>
  <c r="E23" i="7"/>
  <c r="H64" i="7" l="1"/>
  <c r="I64" i="7" s="1"/>
  <c r="J64" i="7" s="1"/>
  <c r="E65" i="7"/>
  <c r="F65" i="7"/>
  <c r="C67" i="7"/>
  <c r="D66" i="7"/>
  <c r="H54" i="7"/>
  <c r="I54" i="7" s="1"/>
  <c r="J54" i="7" s="1"/>
  <c r="H23" i="7"/>
  <c r="I23" i="7" s="1"/>
  <c r="J23" i="7" s="1"/>
  <c r="H44" i="7"/>
  <c r="I44" i="7" s="1"/>
  <c r="J44" i="7" s="1"/>
  <c r="H34" i="7"/>
  <c r="I34" i="7" s="1"/>
  <c r="J34" i="7" s="1"/>
  <c r="D36" i="7"/>
  <c r="C37" i="7"/>
  <c r="D37" i="7" s="1"/>
  <c r="F55" i="7"/>
  <c r="E55" i="7"/>
  <c r="C57" i="7"/>
  <c r="D56" i="7"/>
  <c r="F24" i="7"/>
  <c r="E24" i="7"/>
  <c r="F25" i="7"/>
  <c r="E25" i="7"/>
  <c r="F45" i="7"/>
  <c r="E45" i="7"/>
  <c r="D46" i="7"/>
  <c r="C47" i="7"/>
  <c r="F35" i="7"/>
  <c r="E35" i="7"/>
  <c r="H55" i="7" l="1"/>
  <c r="I55" i="7" s="1"/>
  <c r="J55" i="7" s="1"/>
  <c r="H65" i="7"/>
  <c r="I65" i="7" s="1"/>
  <c r="J65" i="7" s="1"/>
  <c r="E66" i="7"/>
  <c r="F66" i="7"/>
  <c r="D67" i="7"/>
  <c r="C68" i="7"/>
  <c r="H45" i="7"/>
  <c r="I45" i="7" s="1"/>
  <c r="J45" i="7" s="1"/>
  <c r="H25" i="7"/>
  <c r="I25" i="7" s="1"/>
  <c r="J25" i="7" s="1"/>
  <c r="H35" i="7"/>
  <c r="I35" i="7" s="1"/>
  <c r="J35" i="7" s="1"/>
  <c r="H24" i="7"/>
  <c r="I24" i="7" s="1"/>
  <c r="J24" i="7" s="1"/>
  <c r="C48" i="7"/>
  <c r="D47" i="7"/>
  <c r="E46" i="7"/>
  <c r="F46" i="7"/>
  <c r="F56" i="7"/>
  <c r="E56" i="7"/>
  <c r="C58" i="7"/>
  <c r="D57" i="7"/>
  <c r="F37" i="7"/>
  <c r="E37" i="7"/>
  <c r="F36" i="7"/>
  <c r="E36" i="7"/>
  <c r="H66" i="7" l="1"/>
  <c r="I66" i="7" s="1"/>
  <c r="J66" i="7" s="1"/>
  <c r="D68" i="7"/>
  <c r="C69" i="7"/>
  <c r="E67" i="7"/>
  <c r="F67" i="7"/>
  <c r="H36" i="7"/>
  <c r="I36" i="7" s="1"/>
  <c r="J36" i="7" s="1"/>
  <c r="H46" i="7"/>
  <c r="I46" i="7" s="1"/>
  <c r="J46" i="7" s="1"/>
  <c r="H37" i="7"/>
  <c r="I37" i="7" s="1"/>
  <c r="J37" i="7" s="1"/>
  <c r="H56" i="7"/>
  <c r="I56" i="7" s="1"/>
  <c r="J56" i="7" s="1"/>
  <c r="F47" i="7"/>
  <c r="E47" i="7"/>
  <c r="D48" i="7"/>
  <c r="C49" i="7"/>
  <c r="D49" i="7" s="1"/>
  <c r="E57" i="7"/>
  <c r="F57" i="7"/>
  <c r="D58" i="7"/>
  <c r="C59" i="7"/>
  <c r="H67" i="7" l="1"/>
  <c r="I67" i="7" s="1"/>
  <c r="J67" i="7" s="1"/>
  <c r="C70" i="7"/>
  <c r="D69" i="7"/>
  <c r="E68" i="7"/>
  <c r="F68" i="7"/>
  <c r="H47" i="7"/>
  <c r="I47" i="7" s="1"/>
  <c r="J47" i="7" s="1"/>
  <c r="H57" i="7"/>
  <c r="I57" i="7" s="1"/>
  <c r="J57" i="7" s="1"/>
  <c r="E58" i="7"/>
  <c r="F58" i="7"/>
  <c r="F49" i="7"/>
  <c r="E49" i="7"/>
  <c r="E48" i="7"/>
  <c r="F48" i="7"/>
  <c r="C60" i="7"/>
  <c r="D59" i="7"/>
  <c r="H68" i="7" l="1"/>
  <c r="I68" i="7" s="1"/>
  <c r="J68" i="7" s="1"/>
  <c r="E69" i="7"/>
  <c r="F69" i="7"/>
  <c r="C71" i="7"/>
  <c r="D70" i="7"/>
  <c r="H49" i="7"/>
  <c r="I49" i="7" s="1"/>
  <c r="J49" i="7" s="1"/>
  <c r="H48" i="7"/>
  <c r="I48" i="7" s="1"/>
  <c r="J48" i="7" s="1"/>
  <c r="H58" i="7"/>
  <c r="I58" i="7" s="1"/>
  <c r="J58" i="7" s="1"/>
  <c r="F59" i="7"/>
  <c r="E59" i="7"/>
  <c r="D60" i="7"/>
  <c r="C61" i="7"/>
  <c r="D61" i="7" s="1"/>
  <c r="H69" i="7" l="1"/>
  <c r="I69" i="7" s="1"/>
  <c r="J69" i="7" s="1"/>
  <c r="E70" i="7"/>
  <c r="F70" i="7"/>
  <c r="C72" i="7"/>
  <c r="D71" i="7"/>
  <c r="H59" i="7"/>
  <c r="I59" i="7" s="1"/>
  <c r="J59" i="7" s="1"/>
  <c r="F61" i="7"/>
  <c r="E61" i="7"/>
  <c r="F60" i="7"/>
  <c r="E60" i="7"/>
  <c r="H70" i="7" l="1"/>
  <c r="I70" i="7" s="1"/>
  <c r="J70" i="7" s="1"/>
  <c r="E71" i="7"/>
  <c r="F71" i="7"/>
  <c r="C73" i="7"/>
  <c r="D73" i="7" s="1"/>
  <c r="D72" i="7"/>
  <c r="H61" i="7"/>
  <c r="I61" i="7" s="1"/>
  <c r="J61" i="7" s="1"/>
  <c r="H60" i="7"/>
  <c r="I60" i="7" s="1"/>
  <c r="J60" i="7" s="1"/>
  <c r="H71" i="7" l="1"/>
  <c r="I71" i="7" s="1"/>
  <c r="J71" i="7" s="1"/>
  <c r="E72" i="7"/>
  <c r="F72" i="7"/>
  <c r="E73" i="7"/>
  <c r="F73" i="7"/>
  <c r="K5" i="7"/>
  <c r="H72" i="7" l="1"/>
  <c r="I72" i="7" s="1"/>
  <c r="J72" i="7" s="1"/>
  <c r="H73" i="7"/>
  <c r="I73" i="7" s="1"/>
  <c r="J73" i="7" s="1"/>
  <c r="K11" i="6"/>
  <c r="M69" i="7"/>
  <c r="N69" i="7" s="1"/>
  <c r="M70" i="7"/>
  <c r="N70" i="7" s="1"/>
  <c r="M71" i="7"/>
  <c r="N71" i="7" s="1"/>
  <c r="M72" i="7"/>
  <c r="M73" i="7"/>
  <c r="M63" i="7"/>
  <c r="N63" i="7" s="1"/>
  <c r="M65" i="7"/>
  <c r="N65" i="7" s="1"/>
  <c r="M68" i="7"/>
  <c r="N68" i="7" s="1"/>
  <c r="M66" i="7"/>
  <c r="N66" i="7" s="1"/>
  <c r="M67" i="7"/>
  <c r="N67" i="7" s="1"/>
  <c r="M62" i="7"/>
  <c r="N62" i="7" s="1"/>
  <c r="M64" i="7"/>
  <c r="N64" i="7" s="1"/>
  <c r="M24" i="7"/>
  <c r="N24" i="7" s="1"/>
  <c r="M61" i="7"/>
  <c r="N61" i="7" s="1"/>
  <c r="M60" i="7"/>
  <c r="N60" i="7" s="1"/>
  <c r="M59" i="7"/>
  <c r="N59" i="7" s="1"/>
  <c r="M58" i="7"/>
  <c r="N58" i="7" s="1"/>
  <c r="M57" i="7"/>
  <c r="N57" i="7" s="1"/>
  <c r="M56" i="7"/>
  <c r="N56" i="7" s="1"/>
  <c r="M55" i="7"/>
  <c r="N55" i="7" s="1"/>
  <c r="M54" i="7"/>
  <c r="N54" i="7" s="1"/>
  <c r="M53" i="7"/>
  <c r="N53" i="7" s="1"/>
  <c r="M52" i="7"/>
  <c r="N52" i="7" s="1"/>
  <c r="M51" i="7"/>
  <c r="N51" i="7" s="1"/>
  <c r="M50" i="7"/>
  <c r="N50" i="7" s="1"/>
  <c r="M49" i="7"/>
  <c r="N49" i="7" s="1"/>
  <c r="M48" i="7"/>
  <c r="N48" i="7" s="1"/>
  <c r="M47" i="7"/>
  <c r="N47" i="7" s="1"/>
  <c r="M46" i="7"/>
  <c r="N46" i="7" s="1"/>
  <c r="M45" i="7"/>
  <c r="N45" i="7" s="1"/>
  <c r="M44" i="7"/>
  <c r="N44" i="7" s="1"/>
  <c r="M43" i="7"/>
  <c r="N43" i="7" s="1"/>
  <c r="M42" i="7"/>
  <c r="N42" i="7" s="1"/>
  <c r="M41" i="7"/>
  <c r="N41" i="7" s="1"/>
  <c r="M40" i="7"/>
  <c r="N40" i="7" s="1"/>
  <c r="M39" i="7"/>
  <c r="N39" i="7" s="1"/>
  <c r="M38" i="7"/>
  <c r="N38" i="7" s="1"/>
  <c r="M37" i="7"/>
  <c r="N37" i="7" s="1"/>
  <c r="M36" i="7"/>
  <c r="N36" i="7" s="1"/>
  <c r="M35" i="7"/>
  <c r="N35" i="7" s="1"/>
  <c r="M34" i="7"/>
  <c r="N34" i="7" s="1"/>
  <c r="M33" i="7"/>
  <c r="N33" i="7" s="1"/>
  <c r="M32" i="7"/>
  <c r="N32" i="7" s="1"/>
  <c r="M31" i="7"/>
  <c r="N31" i="7" s="1"/>
  <c r="M30" i="7"/>
  <c r="N30" i="7" s="1"/>
  <c r="M29" i="7"/>
  <c r="N29" i="7" s="1"/>
  <c r="M28" i="7"/>
  <c r="N28" i="7" s="1"/>
  <c r="M27" i="7"/>
  <c r="N27" i="7" s="1"/>
  <c r="M26" i="7"/>
  <c r="N26" i="7" s="1"/>
  <c r="M25" i="7"/>
  <c r="N25" i="7" s="1"/>
  <c r="M19" i="7"/>
  <c r="N19" i="7" s="1"/>
  <c r="M23" i="7"/>
  <c r="N23" i="7" s="1"/>
  <c r="M20" i="7"/>
  <c r="N20" i="7" s="1"/>
  <c r="M16" i="7"/>
  <c r="N16" i="7" s="1"/>
  <c r="M17" i="7"/>
  <c r="N17" i="7" s="1"/>
  <c r="M21" i="7"/>
  <c r="N21" i="7" s="1"/>
  <c r="M14" i="7"/>
  <c r="M22" i="7"/>
  <c r="N22" i="7" s="1"/>
  <c r="M18" i="7"/>
  <c r="N18" i="7" s="1"/>
  <c r="M15" i="7"/>
  <c r="N15" i="7" s="1"/>
  <c r="N72" i="7" l="1"/>
  <c r="N73" i="7"/>
  <c r="N14" i="7"/>
  <c r="O14" i="7" s="1"/>
  <c r="O15" i="7" s="1"/>
  <c r="O16" i="7" s="1"/>
  <c r="O17" i="7" s="1"/>
  <c r="O18" i="7" s="1"/>
  <c r="O19" i="7" s="1"/>
  <c r="O20" i="7" s="1"/>
  <c r="O21" i="7" s="1"/>
  <c r="O22" i="7" s="1"/>
  <c r="O23" i="7" s="1"/>
  <c r="O24" i="7" s="1"/>
  <c r="O25" i="7" s="1"/>
  <c r="O26" i="7" s="1"/>
  <c r="O27" i="7" s="1"/>
  <c r="O28" i="7" s="1"/>
  <c r="O29" i="7" s="1"/>
  <c r="O30" i="7" s="1"/>
  <c r="O31" i="7" s="1"/>
  <c r="O32" i="7" s="1"/>
  <c r="O33" i="7" s="1"/>
  <c r="O34" i="7" s="1"/>
  <c r="O35" i="7" s="1"/>
  <c r="O36" i="7" s="1"/>
  <c r="O37" i="7" s="1"/>
  <c r="O38" i="7" s="1"/>
  <c r="O39" i="7" s="1"/>
  <c r="O40" i="7" s="1"/>
  <c r="O41" i="7" s="1"/>
  <c r="O42" i="7" s="1"/>
  <c r="O43" i="7" s="1"/>
  <c r="O44" i="7" s="1"/>
  <c r="O45" i="7" s="1"/>
  <c r="O46" i="7" s="1"/>
  <c r="O47" i="7" s="1"/>
  <c r="O48" i="7" s="1"/>
  <c r="O49" i="7" s="1"/>
  <c r="O50" i="7" s="1"/>
  <c r="O51" i="7" s="1"/>
  <c r="O52" i="7" s="1"/>
  <c r="O53" i="7" s="1"/>
  <c r="O54" i="7" s="1"/>
  <c r="O55" i="7" s="1"/>
  <c r="O56" i="7" s="1"/>
  <c r="O57" i="7" s="1"/>
  <c r="O58" i="7" s="1"/>
  <c r="O59" i="7" s="1"/>
  <c r="O60" i="7" s="1"/>
  <c r="O61" i="7" s="1"/>
  <c r="O62" i="7" s="1"/>
  <c r="O63" i="7" s="1"/>
  <c r="O64" i="7" s="1"/>
  <c r="O65" i="7" s="1"/>
  <c r="O66" i="7" s="1"/>
  <c r="O67" i="7" s="1"/>
  <c r="O68" i="7" s="1"/>
  <c r="O69" i="7" s="1"/>
  <c r="O70" i="7" s="1"/>
  <c r="O71" i="7" s="1"/>
  <c r="O72" i="7" l="1"/>
  <c r="O73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<sst xmlns="http://schemas.openxmlformats.org/spreadsheetml/2006/main" count="260" uniqueCount="200">
  <si>
    <r>
      <t>Chevrolet:</t>
    </r>
    <r>
      <rPr>
        <sz val="8"/>
        <color theme="1"/>
        <rFont val="Arial"/>
        <family val="2"/>
      </rPr>
      <t xml:space="preserve"> Es la marca más afectada por robos en el país. Modelos como el </t>
    </r>
    <r>
      <rPr>
        <i/>
        <sz val="8"/>
        <color theme="1"/>
        <rFont val="Arial"/>
        <family val="2"/>
      </rPr>
      <t>Aveo</t>
    </r>
    <r>
      <rPr>
        <sz val="8"/>
        <color theme="1"/>
        <rFont val="Arial"/>
        <family val="2"/>
      </rPr>
      <t xml:space="preserve">, </t>
    </r>
    <r>
      <rPr>
        <i/>
        <sz val="8"/>
        <color theme="1"/>
        <rFont val="Arial"/>
        <family val="2"/>
      </rPr>
      <t>Sail</t>
    </r>
    <r>
      <rPr>
        <sz val="8"/>
        <color theme="1"/>
        <rFont val="Arial"/>
        <family val="2"/>
      </rPr>
      <t xml:space="preserve"> y la camioneta </t>
    </r>
    <r>
      <rPr>
        <i/>
        <sz val="8"/>
        <color theme="1"/>
        <rFont val="Arial"/>
        <family val="2"/>
      </rPr>
      <t>D-Max</t>
    </r>
    <r>
      <rPr>
        <sz val="8"/>
        <color theme="1"/>
        <rFont val="Arial"/>
        <family val="2"/>
      </rPr>
      <t xml:space="preserve"> lideran los reportes de sustracción y colisiones. [1, 2]</t>
    </r>
  </si>
  <si>
    <r>
      <t>Kia:</t>
    </r>
    <r>
      <rPr>
        <sz val="8"/>
        <color theme="1"/>
        <rFont val="Arial"/>
        <family val="2"/>
      </rPr>
      <t xml:space="preserve"> Segunda marca con mayor incidencia de robos. El modelo </t>
    </r>
    <r>
      <rPr>
        <i/>
        <sz val="8"/>
        <color theme="1"/>
        <rFont val="Arial"/>
        <family val="2"/>
      </rPr>
      <t>Sportage</t>
    </r>
    <r>
      <rPr>
        <sz val="8"/>
        <color theme="1"/>
        <rFont val="Arial"/>
        <family val="2"/>
      </rPr>
      <t xml:space="preserve"> se encuentra catalogado como vehículo de alto riesgo por las aseguradoras. [1, 2, 3]</t>
    </r>
  </si>
  <si>
    <r>
      <t>Hyundai:</t>
    </r>
    <r>
      <rPr>
        <sz val="8"/>
        <color theme="1"/>
        <rFont val="Arial"/>
        <family val="2"/>
      </rPr>
      <t xml:space="preserve"> Ocupa el tercer lugar en robos y partes comerciales. El modelo </t>
    </r>
    <r>
      <rPr>
        <i/>
        <sz val="8"/>
        <color theme="1"/>
        <rFont val="Arial"/>
        <family val="2"/>
      </rPr>
      <t>Tucson</t>
    </r>
    <r>
      <rPr>
        <sz val="8"/>
        <color theme="1"/>
        <rFont val="Arial"/>
        <family val="2"/>
      </rPr>
      <t xml:space="preserve"> registra altas tasas de siniestros por delincuencia y accidentes. [1, 2]</t>
    </r>
  </si>
  <si>
    <r>
      <t>Toyota:</t>
    </r>
    <r>
      <rPr>
        <sz val="8"/>
        <color theme="1"/>
        <rFont val="Arial"/>
        <family val="2"/>
      </rPr>
      <t xml:space="preserve"> Aunque cuenta con una excelente reputación en seguridad pasiva, sus modelos </t>
    </r>
    <r>
      <rPr>
        <i/>
        <sz val="8"/>
        <color theme="1"/>
        <rFont val="Arial"/>
        <family val="2"/>
      </rPr>
      <t>Hilux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Fortuner</t>
    </r>
    <r>
      <rPr>
        <sz val="8"/>
        <color theme="1"/>
        <rFont val="Arial"/>
        <family val="2"/>
      </rPr>
      <t xml:space="preserve"> sufren un riesgo crítico de robo a mano armada y desmantelamiento de accesorios</t>
    </r>
  </si>
  <si>
    <t xml:space="preserve">SINIESTRALIDAD ALTA </t>
  </si>
  <si>
    <t>SINIESTRALIDAD MODERADA</t>
  </si>
  <si>
    <t>Nissan y Suzuki: Modelos específicos como el Nissan Sentra o el Suzuki Vitara SZ entran continuamente en los listados de autos robados o colisionados. [1]</t>
  </si>
  <si>
    <r>
      <t>Mazda:</t>
    </r>
    <r>
      <rPr>
        <sz val="8"/>
        <color theme="1"/>
        <rFont val="Arial"/>
        <family val="2"/>
      </rPr>
      <t xml:space="preserve"> Las camionetas de la serie </t>
    </r>
    <r>
      <rPr>
        <i/>
        <sz val="8"/>
        <color theme="1"/>
        <rFont val="Arial"/>
        <family val="2"/>
      </rPr>
      <t>BT-50</t>
    </r>
    <r>
      <rPr>
        <sz val="8"/>
        <color theme="1"/>
        <rFont val="Arial"/>
        <family val="2"/>
      </rPr>
      <t xml:space="preserve"> son altamente cotizadas por la delincuencia en zonas rurales, elevando su tasa de riesgo. [1, 2]</t>
    </r>
  </si>
  <si>
    <r>
      <t>Mitsubishi:</t>
    </r>
    <r>
      <rPr>
        <sz val="8"/>
        <color theme="1"/>
        <rFont val="Arial"/>
        <family val="2"/>
      </rPr>
      <t xml:space="preserve"> Vehículos SUV como el </t>
    </r>
    <r>
      <rPr>
        <i/>
        <sz val="8"/>
        <color theme="1"/>
        <rFont val="Arial"/>
        <family val="2"/>
      </rPr>
      <t>Montero</t>
    </r>
    <r>
      <rPr>
        <sz val="8"/>
        <color theme="1"/>
        <rFont val="Arial"/>
        <family val="2"/>
      </rPr>
      <t xml:space="preserve"> registran siniestros frecuentes de pérdida parcial o robo de autopartes. [1, 2]</t>
    </r>
  </si>
  <si>
    <r>
      <t>Ford y Volkswagen:</t>
    </r>
    <r>
      <rPr>
        <sz val="8"/>
        <color theme="1"/>
        <rFont val="Arial"/>
        <family val="2"/>
      </rPr>
      <t xml:space="preserve"> Marcas cuyos vehículos familiares y camionetas (</t>
    </r>
    <r>
      <rPr>
        <i/>
        <sz val="8"/>
        <color theme="1"/>
        <rFont val="Arial"/>
        <family val="2"/>
      </rPr>
      <t>Amarok</t>
    </r>
    <r>
      <rPr>
        <sz val="8"/>
        <color theme="1"/>
        <rFont val="Arial"/>
        <family val="2"/>
      </rPr>
      <t xml:space="preserve">, </t>
    </r>
    <r>
      <rPr>
        <i/>
        <sz val="8"/>
        <color theme="1"/>
        <rFont val="Arial"/>
        <family val="2"/>
      </rPr>
      <t>F150</t>
    </r>
    <r>
      <rPr>
        <sz val="8"/>
        <color theme="1"/>
        <rFont val="Arial"/>
        <family val="2"/>
      </rPr>
      <t>) sufren siniestros moderados, controlados en parte por sus avanzados sistemas de seguridad activa.</t>
    </r>
  </si>
  <si>
    <t>BAJA SINIESTRALIDAD</t>
  </si>
  <si>
    <r>
      <t>Marcas Premium (Volvo, BMW, Mercedes-Benz, Audi):</t>
    </r>
    <r>
      <rPr>
        <sz val="8"/>
        <color theme="1"/>
        <rFont val="Arial"/>
        <family val="2"/>
      </rPr>
      <t xml:space="preserve"> Tienen las tasas de siniestralidad por robo más bajas. Modelos como el </t>
    </r>
    <r>
      <rPr>
        <i/>
        <sz val="8"/>
        <color theme="1"/>
        <rFont val="Arial"/>
        <family val="2"/>
      </rPr>
      <t>Volvo XC60</t>
    </r>
    <r>
      <rPr>
        <sz val="8"/>
        <color theme="1"/>
        <rFont val="Arial"/>
        <family val="2"/>
      </rPr>
      <t xml:space="preserve"> destacan frecuentemente en seguridad internacional.</t>
    </r>
  </si>
  <si>
    <r>
      <t>Marcas de nicho (Honda, Subaru):</t>
    </r>
    <r>
      <rPr>
        <sz val="8"/>
        <color theme="1"/>
        <rFont val="Arial"/>
        <family val="2"/>
      </rPr>
      <t xml:space="preserve"> Vehículos con una base de usuarios reducida que limita el interés de las mafias de autopartes.</t>
    </r>
  </si>
  <si>
    <r>
      <t>Firmas Chinas Nuevas o Eléctricas (BYD, Geely):</t>
    </r>
    <r>
      <rPr>
        <sz val="8"/>
        <color theme="1"/>
        <rFont val="Arial"/>
        <family val="2"/>
      </rPr>
      <t xml:space="preserve"> Al incorporar tecnologías recientes de software cerrado y baterías complejas, su índice de robo actual es mínimo</t>
    </r>
  </si>
  <si>
    <t>TASA</t>
  </si>
  <si>
    <r>
      <t>Guayaquil:</t>
    </r>
    <r>
      <rPr>
        <sz val="8"/>
        <color theme="1"/>
        <rFont val="Arial"/>
        <family val="2"/>
      </rPr>
      <t xml:space="preserve"> Lidera el riesgo a nivel nacional. Registra la mayor cantidad de siniestros viales y es el punto crítico para las aseguradoras por robo de vehículos a mano armada y desmantelamiento de autopartes en zonas comerciales. [1, 2, 3, 4, 5]</t>
    </r>
  </si>
  <si>
    <r>
      <t>Quito:</t>
    </r>
    <r>
      <rPr>
        <sz val="8"/>
        <color theme="1"/>
        <rFont val="Arial"/>
        <family val="2"/>
      </rPr>
      <t xml:space="preserve"> Presenta la tasa de mortalidad por accidentes de tránsito más alta en proporción y empata con Guayaquil en volumen de robos de vehículos (aproximadamente uno cada 3.5 horas). Las pólizas aquí exigen casi obligatoriamente un dispositivo GPS. [1, 2, 3]</t>
    </r>
  </si>
  <si>
    <r>
      <t>Santo Domingo:</t>
    </r>
    <r>
      <rPr>
        <sz val="8"/>
        <color theme="1"/>
        <rFont val="Arial"/>
        <family val="2"/>
      </rPr>
      <t xml:space="preserve"> Al ser el eje vial conector del país, registra una altísima siniestralidad por choques pesados y pérdida de pista. Además, ha visto un incremento crítico en robos de camionetas y transporte pesado. [1, 2]</t>
    </r>
  </si>
  <si>
    <r>
      <t>Quevedo y Babahoyo:</t>
    </r>
    <r>
      <rPr>
        <sz val="8"/>
        <color theme="1"/>
        <rFont val="Arial"/>
        <family val="2"/>
      </rPr>
      <t xml:space="preserve"> Ciudades de alta peligrosidad delictiva. Para el sector asegurador, representan zonas de "alerta roja" por la frecuencia de asaltos en ejes viales y robo total de automotores</t>
    </r>
  </si>
  <si>
    <t>ALTA SINIESTRALIDAD</t>
  </si>
  <si>
    <r>
      <t>Cuenca:</t>
    </r>
    <r>
      <rPr>
        <sz val="8"/>
        <color theme="1"/>
        <rFont val="Arial"/>
        <family val="2"/>
      </rPr>
      <t xml:space="preserve"> Aunque registra accidentes urbanos con regularidad, mantiene niveles de robo vehicular sustancialmente más bajos que Quito y Guayaquil. Es considerada una ciudad de riesgo controlado para asegurar autos. [1, 2]</t>
    </r>
  </si>
  <si>
    <r>
      <t>Manta y Portoviejo:</t>
    </r>
    <r>
      <rPr>
        <sz val="8"/>
        <color theme="1"/>
        <rFont val="Arial"/>
        <family val="2"/>
      </rPr>
      <t xml:space="preserve"> En Manabí la siniestralidad por accidentes de motocicletas y autos particulares es alta. El robo de accesorios y camionetas mantiene las alertas en nivel medio. [1, 2]</t>
    </r>
  </si>
  <si>
    <r>
      <t>Machala:</t>
    </r>
    <r>
      <rPr>
        <sz val="8"/>
        <color theme="1"/>
        <rFont val="Arial"/>
        <family val="2"/>
      </rPr>
      <t xml:space="preserve"> Registra problemas de delincuencia comunes de la costa que afectan los vehículos parqueados, sumado a choques en las vías de acceso provinciales. [1, 2]</t>
    </r>
  </si>
  <si>
    <r>
      <t>Ambato y Riobamba:</t>
    </r>
    <r>
      <rPr>
        <sz val="8"/>
        <color theme="1"/>
        <rFont val="Arial"/>
        <family val="2"/>
      </rPr>
      <t xml:space="preserve"> Zonas de tránsito andino con siniestros viales vinculados a neblina o carreteras de curvas, pero con tasas de robo residencial y comercial bajas a moderadas.</t>
    </r>
  </si>
  <si>
    <r>
      <t>Loja:</t>
    </r>
    <r>
      <rPr>
        <sz val="8"/>
        <color theme="1"/>
        <rFont val="Arial"/>
        <family val="2"/>
      </rPr>
      <t xml:space="preserve"> Destaca por tener un orden vial estricto dentro de la urbe, baja tasa de accidentes fatales y niveles mínimos de delincuencia organizada enfocada en autos.</t>
    </r>
  </si>
  <si>
    <r>
      <t>Ibarra y Tulcán:</t>
    </r>
    <r>
      <rPr>
        <sz val="8"/>
        <color theme="1"/>
        <rFont val="Arial"/>
        <family val="2"/>
      </rPr>
      <t xml:space="preserve"> Presentan una siniestralidad vial interna baja. No obstante, por su cercanía con la frontera, las aseguradoras vigilan de cerca el contrabando, aunque el robo local común es reducido.</t>
    </r>
  </si>
  <si>
    <r>
      <t>Baños y Tena:</t>
    </r>
    <r>
      <rPr>
        <sz val="8"/>
        <color theme="1"/>
        <rFont val="Arial"/>
        <family val="2"/>
      </rPr>
      <t xml:space="preserve"> Cantones pequeños o de la región amazónica donde el tráfico es leve. Los siniestros son muy puntuales y aislados.</t>
    </r>
  </si>
  <si>
    <r>
      <t>Región Insular (Galápagos):</t>
    </r>
    <r>
      <rPr>
        <sz val="8"/>
        <color theme="1"/>
        <rFont val="Arial"/>
        <family val="2"/>
      </rPr>
      <t xml:space="preserve"> Es la zona con </t>
    </r>
    <r>
      <rPr>
        <sz val="8"/>
        <color theme="1"/>
        <rFont val="Arial"/>
        <family val="2"/>
      </rPr>
      <t>menor siniestralidad de todo el Ecuador</t>
    </r>
    <r>
      <rPr>
        <sz val="8"/>
        <color theme="1"/>
        <rFont val="Arial"/>
        <family val="2"/>
      </rPr>
      <t>. El riesgo de robo vehicular es prácticamente nulo y las velocidades de circulación están fuertemente limitadas</t>
    </r>
  </si>
  <si>
    <t>GUARANDA</t>
  </si>
  <si>
    <t>HOMBRES</t>
  </si>
  <si>
    <t>MUJERES</t>
  </si>
  <si>
    <t>HASTA LOS 32</t>
  </si>
  <si>
    <t>   </t>
  </si>
  <si>
    <t>          </t>
  </si>
  <si>
    <t>EDAD</t>
  </si>
  <si>
    <t>VALOR ASEGURADO</t>
  </si>
  <si>
    <t>NOMBRE DEL ASEGURADO:</t>
  </si>
  <si>
    <t>HORNA GONZALES JEYDY ESTHER</t>
  </si>
  <si>
    <t xml:space="preserve">VEHICULO: </t>
  </si>
  <si>
    <t>GREAT WALL</t>
  </si>
  <si>
    <t>AÑOS DE VIGENCIA</t>
  </si>
  <si>
    <t>AÑOS</t>
  </si>
  <si>
    <t>DEPRECIACIÓN</t>
  </si>
  <si>
    <t>VALORES ASEGURADOS</t>
  </si>
  <si>
    <t>VALOR ANUAL  DE DEPRECIACIÓN</t>
  </si>
  <si>
    <t>VALOR ANUAL  DE DEPRECIACIÓN MENSUAL</t>
  </si>
  <si>
    <t>CUOTA FIJA
(pago cliente)</t>
  </si>
  <si>
    <t>1er. Año</t>
  </si>
  <si>
    <t>2do. Año</t>
  </si>
  <si>
    <t>3er. Año</t>
  </si>
  <si>
    <t>4to. Año</t>
  </si>
  <si>
    <t xml:space="preserve">NIVELACIÓN </t>
  </si>
  <si>
    <t>MES</t>
  </si>
  <si>
    <t>PRIMA NETA MES</t>
  </si>
  <si>
    <t>SUPER DE BANCOS</t>
  </si>
  <si>
    <t>SEGURO CAMPESINO</t>
  </si>
  <si>
    <t>DERECHOS DE EMISIÓN</t>
  </si>
  <si>
    <t>SUBTOTAL</t>
  </si>
  <si>
    <t xml:space="preserve">IVA </t>
  </si>
  <si>
    <t>PRIMA TOTAL MES
(COSTO REAL)</t>
  </si>
  <si>
    <t>CUOTA FIJA</t>
  </si>
  <si>
    <t>DIFERENCIA</t>
  </si>
  <si>
    <t>NIVELACIÓN ACUMULADA</t>
  </si>
  <si>
    <t>TIPO DE VH</t>
  </si>
  <si>
    <t>TIEMPO DE CRÉDITO</t>
  </si>
  <si>
    <t>VH LIVIANOS NUEVOS Y USADOS ALTA GAMA (40.000.00 EN ADELANTE)</t>
  </si>
  <si>
    <t>RIESGO</t>
  </si>
  <si>
    <t>RIESGO MARCAS</t>
  </si>
  <si>
    <t>RIESGO CIUDADES</t>
  </si>
  <si>
    <t>RIESGO GENERO</t>
  </si>
  <si>
    <t xml:space="preserve">PARTICULAR  </t>
  </si>
  <si>
    <t>CORPORATIVO</t>
  </si>
  <si>
    <t>COMERCIAL</t>
  </si>
  <si>
    <t>RIESGO USO</t>
  </si>
  <si>
    <t>HASTA 2 AÑOS</t>
  </si>
  <si>
    <t>VH USADOS Y NUEVOS  LIVIANOS PARTICULARES</t>
  </si>
  <si>
    <t>HASTA 3 A 5 AÑOS</t>
  </si>
  <si>
    <t>DE 1 A 5 AÑOS</t>
  </si>
  <si>
    <t xml:space="preserve">VH DE ALQUILER </t>
  </si>
  <si>
    <t>PARTICULAR</t>
  </si>
  <si>
    <t>MONTO ASEGURADO</t>
  </si>
  <si>
    <t>0 A 20000</t>
  </si>
  <si>
    <t>20001 A 30000</t>
  </si>
  <si>
    <t>30001 EN ADELANTE</t>
  </si>
  <si>
    <t>CUOTA</t>
  </si>
  <si>
    <t>JUANITO</t>
  </si>
  <si>
    <t>RIESGO MODELO</t>
  </si>
  <si>
    <t>HOMBRE</t>
  </si>
  <si>
    <t>COLOR</t>
  </si>
  <si>
    <t>ESTADO CIVIL</t>
  </si>
  <si>
    <t>16 A 25</t>
  </si>
  <si>
    <t>45 EN ADELANTE</t>
  </si>
  <si>
    <t>25 A 44</t>
  </si>
  <si>
    <t>ALTA</t>
  </si>
  <si>
    <t>MODERADA</t>
  </si>
  <si>
    <t>BAJA</t>
  </si>
  <si>
    <t>NUEVO</t>
  </si>
  <si>
    <t>Volkswagen T-Cross, Volkswagen Nuevo Virtus, Volkswagen Nivus, Toyota Corolla,Nissan Qashqai, Mistubishi Outlander, KIA K3/K3 Cross, Chevrolet Tracker</t>
  </si>
  <si>
    <t>Volvo, BMW, Mercedes-Benz, Audi, HONDA, SUBARU, BYD, GEELY, Volkswagen Passat, Mazda CX-80, Audi Q6 e-tron, Zeekr X, Maxus eTERRON 9</t>
  </si>
  <si>
    <t>TIPO</t>
  </si>
  <si>
    <t>NUEVO PRIMER AÑO</t>
  </si>
  <si>
    <t>NUEVO A PARTIR DEL SEGUNDO AÑO</t>
  </si>
  <si>
    <t>USADO PRIMER AÑO</t>
  </si>
  <si>
    <t>USADO A PARTIR DEL SEGUNDO AÑO</t>
  </si>
  <si>
    <t>Guayaquil, Quito, Santo Domingo, Babahoyo, Quevedo, La Maná, Manta, Chone, Portoviejo, Quito, Machala</t>
  </si>
  <si>
    <t>Cuenca, Ambato, Ibarra, Riobamba, Latacunga, Guaranda</t>
  </si>
  <si>
    <t>Loja, Tulcan, Baños, Tena, Galapagos</t>
  </si>
  <si>
    <t>TIPO SINIESTRALIDAD</t>
  </si>
  <si>
    <t xml:space="preserve">TERCERA EDAD </t>
  </si>
  <si>
    <t>BLANCO , PLATA</t>
  </si>
  <si>
    <t>ROJO, AZUL, GRIS OSCURO</t>
  </si>
  <si>
    <t>ALTO</t>
  </si>
  <si>
    <t>MODERADO</t>
  </si>
  <si>
    <t>BAJO</t>
  </si>
  <si>
    <t>PÉRDIDAS PARCIALES</t>
  </si>
  <si>
    <t>PÉRDIDAS TOTALES</t>
  </si>
  <si>
    <t>10% DEL VALOR DEL SINIESTRO MÍNIMO 300</t>
  </si>
  <si>
    <t>15% DEL VALOR DEL SINIESTRO MÍNIMO 500</t>
  </si>
  <si>
    <t>20% DEL VALOR DEL SINIESTRO MÍNIMO 700</t>
  </si>
  <si>
    <t>15% DEL VALOR ASEGURADO</t>
  </si>
  <si>
    <t>18% DEL VALOR ASEGURADO</t>
  </si>
  <si>
    <t>20% DEL VALOR ASEGURADO</t>
  </si>
  <si>
    <t>SUBARU</t>
  </si>
  <si>
    <t>HOMBRE 85%</t>
  </si>
  <si>
    <t>MUJER 15%</t>
  </si>
  <si>
    <t>GENERO</t>
  </si>
  <si>
    <t>MUJER</t>
  </si>
  <si>
    <t>TERCERA EDAD</t>
  </si>
  <si>
    <t>USO</t>
  </si>
  <si>
    <t>MODELO</t>
  </si>
  <si>
    <t>Chevrolet Aveo</t>
  </si>
  <si>
    <t>Chevrolet D-Max</t>
  </si>
  <si>
    <t>Grand Vitara</t>
  </si>
  <si>
    <t>Kia Sportage</t>
  </si>
  <si>
    <t>Hyundai Tucson</t>
  </si>
  <si>
    <t>Hyundai Accent</t>
  </si>
  <si>
    <t>Kia Rio</t>
  </si>
  <si>
    <t>Nissan Sentra</t>
  </si>
  <si>
    <t>Suzuki Vitara SZ</t>
  </si>
  <si>
    <t>Mitsubishi Montero</t>
  </si>
  <si>
    <t>MAZDA BT50</t>
  </si>
  <si>
    <t>AMAROK</t>
  </si>
  <si>
    <t>F150</t>
  </si>
  <si>
    <t>Chevrolet Sail</t>
  </si>
  <si>
    <t>Volkswagen T-Cross</t>
  </si>
  <si>
    <t>Volkswagen Nuevo Virtus</t>
  </si>
  <si>
    <t>Volkswagen Nivus</t>
  </si>
  <si>
    <t>Toyota Corolla</t>
  </si>
  <si>
    <t>Nissan Qashqai</t>
  </si>
  <si>
    <t>Mistubishi Outlander</t>
  </si>
  <si>
    <t>KIA K3</t>
  </si>
  <si>
    <t>K3 Cross</t>
  </si>
  <si>
    <t>Chevrolet Tracker</t>
  </si>
  <si>
    <t>Volvo</t>
  </si>
  <si>
    <t>BMW</t>
  </si>
  <si>
    <t>Mercedes-Benz</t>
  </si>
  <si>
    <t>Audi</t>
  </si>
  <si>
    <t>HONDA</t>
  </si>
  <si>
    <t>BYD</t>
  </si>
  <si>
    <t>GEELY</t>
  </si>
  <si>
    <t>Volkswagen Passat</t>
  </si>
  <si>
    <t>Mazda CX-80</t>
  </si>
  <si>
    <t>Audi Q6 e-tron</t>
  </si>
  <si>
    <t>Zeekr X</t>
  </si>
  <si>
    <t>Maxus eTERRON 9</t>
  </si>
  <si>
    <t>SOLTERO/A</t>
  </si>
  <si>
    <t>CASADO/A</t>
  </si>
  <si>
    <t>TIEMPO CREDITO</t>
  </si>
  <si>
    <t>NEGRO</t>
  </si>
  <si>
    <t>AMARILLO TAXI</t>
  </si>
  <si>
    <t>MARRON</t>
  </si>
  <si>
    <t>AZUL</t>
  </si>
  <si>
    <t>VERDE</t>
  </si>
  <si>
    <t>ROJO</t>
  </si>
  <si>
    <t>GRIS OSCURO</t>
  </si>
  <si>
    <t>BLANCO</t>
  </si>
  <si>
    <t>PLATA</t>
  </si>
  <si>
    <t>NEGRO, AMARILLO TAXI, MARRON, AZUL, VERDE</t>
  </si>
  <si>
    <t xml:space="preserve">NOMBRE  </t>
  </si>
  <si>
    <t xml:space="preserve">ESTADO CIVIL  </t>
  </si>
  <si>
    <t xml:space="preserve">EDAD  </t>
  </si>
  <si>
    <t xml:space="preserve">CIUDAD  </t>
  </si>
  <si>
    <t xml:space="preserve">GÉNERO  </t>
  </si>
  <si>
    <t xml:space="preserve">MARCA  </t>
  </si>
  <si>
    <t xml:space="preserve">MODELO  </t>
  </si>
  <si>
    <t xml:space="preserve">COLOR  </t>
  </si>
  <si>
    <t xml:space="preserve">USO  </t>
  </si>
  <si>
    <t xml:space="preserve">ESTADO DEL VH  </t>
  </si>
  <si>
    <t xml:space="preserve">VALOR ASEGURADO  </t>
  </si>
  <si>
    <t xml:space="preserve">AÑOS DE SEGURO  </t>
  </si>
  <si>
    <t xml:space="preserve">RIESGO  </t>
  </si>
  <si>
    <t xml:space="preserve">PÉRDIDAS PARCIALES  </t>
  </si>
  <si>
    <t xml:space="preserve">PÉRDIDAS TOTALES  </t>
  </si>
  <si>
    <t>5to. Año</t>
  </si>
  <si>
    <t>Chevrolet Sail, Chevrolet Aveo, Chevrolet D-Max, Grand Vitara
Kia Sportage, Hyundai Tucson, Hyundai Accent,  Kia Rio
Nissan Sentra, Suzuki Vitara SZ, Mitsubishi Montero, MAZDA BT50, AMAROK, F150</t>
  </si>
  <si>
    <t>DEPRECIACIÓN AUTOS NUEVOS</t>
  </si>
  <si>
    <t>DEPRECIACIÓN AUTOS USADOS</t>
  </si>
  <si>
    <t>ESTADO DEL VH</t>
  </si>
  <si>
    <t>USADO</t>
  </si>
  <si>
    <t>MANTA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</si>
</sst>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5" formatCode="_ * #,##0_ ;_ * \-#,##0_ ;_ * &quot;-&quot;??_ ;_ @_ 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sz val="1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8"/>
      <color rgb="FF000000"/>
      <name val="Arial Nova"/>
      <family val="2"/>
    </font>
    <font>
      <sz val="11"/>
      <color theme="1"/>
      <name val="Arial Nova"/>
      <family val="2"/>
    </font>
    <font>
      <b/>
      <sz val="7"/>
      <color rgb="FF000000"/>
      <name val="Arial Nova"/>
      <family val="2"/>
    </font>
    <font>
      <b/>
      <sz val="8"/>
      <color theme="1"/>
      <name val="Arial Nova"/>
      <family val="2"/>
    </font>
    <font>
      <sz val="8"/>
      <color theme="1"/>
      <name val="Arial Nova"/>
      <family val="2"/>
    </font>
    <font>
      <sz val="8"/>
      <color rgb="FFFF0000"/>
      <name val="Arial Nova"/>
      <family val="2"/>
    </font>
    <font>
      <sz val="8"/>
      <color rgb="FF00B050"/>
      <name val="Arial Nova"/>
      <family val="2"/>
    </font>
    <font>
      <sz val="8"/>
      <color theme="8" tint="-0.249977111117893"/>
      <name val="Arial Nova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sz val="8"/>
      <color rgb="FF1F1F1F"/>
      <name val="Arial Narrow"/>
      <family val="2"/>
    </font>
    <font>
      <sz val="8"/>
      <color rgb="FFFF0000"/>
      <name val="Arial Narrow"/>
      <family val="2"/>
    </font>
    <font>
      <sz val="8"/>
      <color rgb="FF00B050"/>
      <name val="Arial Narrow"/>
      <family val="2"/>
    </font>
    <font>
      <sz val="8"/>
      <color theme="8" tint="-0.249977111117893"/>
      <name val="Arial Narrow"/>
      <family val="2"/>
    </font>
    <font>
      <sz val="8"/>
      <color rgb="FF0070C0"/>
      <name val="Arial Narrow"/>
      <family val="2"/>
    </font>
    <font>
      <sz val="12"/>
      <color theme="1"/>
      <name val="Wingdings"/>
      <charset val="2"/>
    </font>
    <font>
      <b/>
      <sz val="11"/>
      <color theme="1"/>
      <name val="Arial Nova"/>
      <family val="2"/>
    </font>
    <font>
      <sz val="16"/>
      <color theme="1"/>
      <name val="Arial Nova"/>
      <family val="2"/>
    </font>
    <font>
      <sz val="16"/>
      <color theme="1"/>
      <name val="Calibri"/>
      <family val="2"/>
      <scheme val="minor"/>
    </font>
    <font>
      <sz val="8"/>
      <name val="Arial Narrow"/>
      <family val="2"/>
    </font>
    <font>
      <b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6" fillId="0" borderId="0" xfId="0" applyFont="1" applyAlignment="1">
      <alignment vertical="center"/>
    </xf>
    <xf numFmtId="9" fontId="0" fillId="0" borderId="0" xfId="0" applyNumberFormat="1"/>
    <xf numFmtId="0" fontId="0" fillId="0" borderId="0" xfId="0" applyAlignment="1" applyProtection="1">
      <alignment vertical="center"/>
      <protection locked="0"/>
    </xf>
    <xf numFmtId="44" fontId="0" fillId="0" borderId="0" xfId="2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44" fontId="3" fillId="0" borderId="0" xfId="2" applyFont="1" applyAlignment="1" applyProtection="1">
      <alignment vertical="center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164" fontId="9" fillId="3" borderId="2" xfId="0" applyNumberFormat="1" applyFont="1" applyFill="1" applyBorder="1" applyAlignment="1" applyProtection="1">
      <alignment horizontal="center" vertical="center"/>
      <protection locked="0"/>
    </xf>
    <xf numFmtId="44" fontId="0" fillId="0" borderId="0" xfId="2" applyFont="1" applyBorder="1" applyAlignment="1" applyProtection="1">
      <alignment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44" fontId="4" fillId="4" borderId="3" xfId="2" applyFont="1" applyFill="1" applyBorder="1" applyAlignment="1" applyProtection="1">
      <alignment vertical="center"/>
      <protection locked="0"/>
    </xf>
    <xf numFmtId="44" fontId="4" fillId="4" borderId="3" xfId="2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hidden="1"/>
    </xf>
    <xf numFmtId="44" fontId="0" fillId="0" borderId="3" xfId="2" applyFont="1" applyBorder="1" applyAlignment="1" applyProtection="1">
      <alignment vertical="center"/>
      <protection hidden="1"/>
    </xf>
    <xf numFmtId="43" fontId="0" fillId="0" borderId="3" xfId="1" applyFont="1" applyBorder="1" applyAlignment="1" applyProtection="1">
      <alignment vertical="center"/>
      <protection hidden="1"/>
    </xf>
    <xf numFmtId="164" fontId="0" fillId="0" borderId="3" xfId="0" applyNumberFormat="1" applyBorder="1" applyAlignment="1" applyProtection="1">
      <alignment vertical="center"/>
      <protection hidden="1"/>
    </xf>
    <xf numFmtId="44" fontId="0" fillId="0" borderId="3" xfId="2" applyFont="1" applyFill="1" applyBorder="1" applyAlignment="1" applyProtection="1">
      <alignment vertical="center"/>
      <protection hidden="1"/>
    </xf>
    <xf numFmtId="0" fontId="11" fillId="0" borderId="0" xfId="0" applyFont="1"/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4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9" fontId="15" fillId="0" borderId="3" xfId="0" applyNumberFormat="1" applyFont="1" applyBorder="1" applyAlignment="1">
      <alignment vertical="center"/>
    </xf>
    <xf numFmtId="10" fontId="15" fillId="0" borderId="3" xfId="0" applyNumberFormat="1" applyFont="1" applyBorder="1" applyAlignment="1">
      <alignment vertical="center"/>
    </xf>
    <xf numFmtId="0" fontId="16" fillId="0" borderId="3" xfId="0" applyFont="1" applyBorder="1" applyAlignment="1">
      <alignment horizontal="center" vertical="center"/>
    </xf>
    <xf numFmtId="9" fontId="16" fillId="0" borderId="3" xfId="0" applyNumberFormat="1" applyFont="1" applyBorder="1" applyAlignment="1">
      <alignment vertical="center"/>
    </xf>
    <xf numFmtId="10" fontId="16" fillId="0" borderId="3" xfId="0" applyNumberFormat="1" applyFont="1" applyBorder="1" applyAlignment="1">
      <alignment vertical="center"/>
    </xf>
    <xf numFmtId="0" fontId="17" fillId="0" borderId="3" xfId="0" applyFont="1" applyBorder="1" applyAlignment="1">
      <alignment horizontal="center" vertical="center"/>
    </xf>
    <xf numFmtId="9" fontId="17" fillId="0" borderId="3" xfId="0" applyNumberFormat="1" applyFont="1" applyBorder="1" applyAlignment="1">
      <alignment vertical="center"/>
    </xf>
    <xf numFmtId="10" fontId="17" fillId="0" borderId="3" xfId="0" applyNumberFormat="1" applyFont="1" applyBorder="1" applyAlignment="1">
      <alignment vertical="center"/>
    </xf>
    <xf numFmtId="0" fontId="14" fillId="0" borderId="3" xfId="0" applyFont="1" applyBorder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0" fontId="23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10" fontId="19" fillId="0" borderId="0" xfId="0" applyNumberFormat="1" applyFont="1" applyAlignment="1">
      <alignment vertical="center" wrapText="1"/>
    </xf>
    <xf numFmtId="0" fontId="19" fillId="0" borderId="0" xfId="0" applyFont="1" applyAlignment="1">
      <alignment vertic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wrapText="1"/>
    </xf>
    <xf numFmtId="0" fontId="24" fillId="0" borderId="0" xfId="0" applyFont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vertical="center" wrapText="1"/>
    </xf>
    <xf numFmtId="0" fontId="21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5" fillId="0" borderId="0" xfId="0" applyFont="1" applyAlignment="1">
      <alignment horizontal="justify" vertical="center"/>
    </xf>
    <xf numFmtId="10" fontId="11" fillId="0" borderId="0" xfId="3" applyNumberFormat="1" applyFont="1"/>
    <xf numFmtId="0" fontId="26" fillId="0" borderId="0" xfId="0" applyFont="1"/>
    <xf numFmtId="0" fontId="10" fillId="0" borderId="0" xfId="0" applyFont="1" applyAlignment="1">
      <alignment vertical="center" wrapText="1"/>
    </xf>
    <xf numFmtId="0" fontId="26" fillId="5" borderId="0" xfId="0" applyFont="1" applyFill="1" applyAlignment="1">
      <alignment horizontal="right"/>
    </xf>
    <xf numFmtId="0" fontId="11" fillId="5" borderId="0" xfId="0" applyFont="1" applyFill="1" applyAlignment="1">
      <alignment horizontal="right"/>
    </xf>
    <xf numFmtId="0" fontId="11" fillId="5" borderId="0" xfId="0" applyFont="1" applyFill="1"/>
    <xf numFmtId="0" fontId="26" fillId="5" borderId="0" xfId="0" applyFont="1" applyFill="1" applyAlignment="1">
      <alignment horizontal="center"/>
    </xf>
    <xf numFmtId="0" fontId="26" fillId="5" borderId="0" xfId="0" applyFont="1" applyFill="1" applyAlignment="1">
      <alignment horizontal="center" vertical="center"/>
    </xf>
    <xf numFmtId="2" fontId="28" fillId="5" borderId="0" xfId="0" applyNumberFormat="1" applyFont="1" applyFill="1" applyAlignment="1">
      <alignment vertical="center"/>
    </xf>
    <xf numFmtId="0" fontId="0" fillId="0" borderId="7" xfId="0" applyBorder="1" applyAlignment="1" applyProtection="1">
      <alignment horizontal="center" vertical="center"/>
      <protection hidden="1"/>
    </xf>
    <xf numFmtId="44" fontId="0" fillId="0" borderId="7" xfId="2" applyFont="1" applyFill="1" applyBorder="1" applyAlignment="1" applyProtection="1">
      <alignment vertical="center"/>
      <protection hidden="1"/>
    </xf>
    <xf numFmtId="43" fontId="0" fillId="0" borderId="7" xfId="1" applyFont="1" applyBorder="1" applyAlignment="1" applyProtection="1">
      <alignment vertical="center"/>
      <protection hidden="1"/>
    </xf>
    <xf numFmtId="44" fontId="0" fillId="0" borderId="7" xfId="2" applyFont="1" applyBorder="1" applyAlignment="1" applyProtection="1">
      <alignment vertical="center"/>
      <protection hidden="1"/>
    </xf>
    <xf numFmtId="164" fontId="0" fillId="0" borderId="7" xfId="0" applyNumberFormat="1" applyBorder="1" applyAlignment="1" applyProtection="1">
      <alignment vertical="center"/>
      <protection hidden="1"/>
    </xf>
    <xf numFmtId="44" fontId="0" fillId="0" borderId="3" xfId="2" applyFont="1" applyBorder="1" applyAlignment="1" applyProtection="1">
      <alignment vertical="center"/>
      <protection locked="0"/>
    </xf>
    <xf numFmtId="2" fontId="0" fillId="0" borderId="3" xfId="0" applyNumberFormat="1" applyBorder="1" applyAlignment="1" applyProtection="1">
      <alignment vertical="center"/>
      <protection locked="0"/>
    </xf>
    <xf numFmtId="10" fontId="19" fillId="0" borderId="3" xfId="0" applyNumberFormat="1" applyFont="1" applyBorder="1" applyAlignment="1">
      <alignment horizontal="center" vertical="center" wrapText="1"/>
    </xf>
    <xf numFmtId="0" fontId="20" fillId="0" borderId="3" xfId="0" applyFont="1" applyBorder="1" applyAlignment="1">
      <alignment vertical="center" wrapText="1"/>
    </xf>
    <xf numFmtId="0" fontId="18" fillId="6" borderId="3" xfId="0" applyFont="1" applyFill="1" applyBorder="1" applyAlignment="1">
      <alignment horizontal="center" vertical="center" wrapText="1"/>
    </xf>
    <xf numFmtId="10" fontId="29" fillId="0" borderId="3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9" fontId="19" fillId="0" borderId="3" xfId="0" applyNumberFormat="1" applyFont="1" applyBorder="1" applyAlignment="1">
      <alignment horizontal="center" vertical="center"/>
    </xf>
    <xf numFmtId="165" fontId="0" fillId="0" borderId="0" xfId="1" applyNumberFormat="1" applyFont="1" applyFill="1" applyAlignment="1" applyProtection="1">
      <alignment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 wrapText="1"/>
      <protection locked="0"/>
    </xf>
    <xf numFmtId="44" fontId="2" fillId="2" borderId="9" xfId="2" applyFont="1" applyFill="1" applyBorder="1" applyAlignment="1" applyProtection="1">
      <alignment horizontal="center" vertical="center" wrapText="1"/>
      <protection locked="0"/>
    </xf>
    <xf numFmtId="44" fontId="2" fillId="2" borderId="10" xfId="2" applyFont="1" applyFill="1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vertical="center"/>
      <protection locked="0"/>
    </xf>
    <xf numFmtId="10" fontId="0" fillId="0" borderId="3" xfId="2" applyNumberFormat="1" applyFont="1" applyFill="1" applyBorder="1" applyAlignment="1" applyProtection="1">
      <alignment horizontal="center" vertical="center"/>
      <protection locked="0"/>
    </xf>
    <xf numFmtId="9" fontId="0" fillId="0" borderId="3" xfId="3" applyFont="1" applyBorder="1" applyAlignment="1" applyProtection="1">
      <alignment horizontal="center" vertical="center"/>
      <protection locked="0"/>
    </xf>
    <xf numFmtId="44" fontId="0" fillId="0" borderId="3" xfId="2" applyFont="1" applyFill="1" applyBorder="1" applyAlignment="1" applyProtection="1">
      <alignment vertical="center"/>
      <protection locked="0"/>
    </xf>
    <xf numFmtId="44" fontId="0" fillId="0" borderId="3" xfId="2" applyFont="1" applyBorder="1" applyAlignment="1" applyProtection="1">
      <alignment vertical="center"/>
    </xf>
    <xf numFmtId="10" fontId="0" fillId="0" borderId="12" xfId="3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vertical="center"/>
      <protection locked="0"/>
    </xf>
    <xf numFmtId="10" fontId="0" fillId="0" borderId="14" xfId="2" applyNumberFormat="1" applyFont="1" applyFill="1" applyBorder="1" applyAlignment="1" applyProtection="1">
      <alignment horizontal="center" vertical="center"/>
      <protection locked="0"/>
    </xf>
    <xf numFmtId="9" fontId="0" fillId="0" borderId="14" xfId="3" applyFont="1" applyBorder="1" applyAlignment="1" applyProtection="1">
      <alignment horizontal="center" vertical="center"/>
      <protection locked="0"/>
    </xf>
    <xf numFmtId="44" fontId="0" fillId="0" borderId="14" xfId="2" applyFont="1" applyBorder="1" applyAlignment="1" applyProtection="1">
      <alignment vertical="center"/>
    </xf>
    <xf numFmtId="10" fontId="0" fillId="0" borderId="15" xfId="3" applyNumberFormat="1" applyFont="1" applyFill="1" applyBorder="1" applyAlignment="1" applyProtection="1">
      <alignment horizontal="center" vertical="center"/>
      <protection locked="0"/>
    </xf>
    <xf numFmtId="9" fontId="4" fillId="0" borderId="3" xfId="0" applyNumberFormat="1" applyFont="1" applyBorder="1" applyAlignment="1" applyProtection="1">
      <alignment horizontal="center" vertical="center"/>
      <protection locked="0"/>
    </xf>
    <xf numFmtId="10" fontId="4" fillId="0" borderId="3" xfId="3" applyNumberFormat="1" applyFont="1" applyFill="1" applyBorder="1" applyAlignment="1" applyProtection="1">
      <alignment horizontal="center" vertical="center"/>
      <protection locked="0"/>
    </xf>
    <xf numFmtId="10" fontId="30" fillId="0" borderId="3" xfId="0" applyNumberFormat="1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43" fontId="0" fillId="0" borderId="3" xfId="1" applyFont="1" applyBorder="1" applyAlignment="1" applyProtection="1">
      <alignment horizontal="center" vertical="center"/>
      <protection hidden="1"/>
    </xf>
    <xf numFmtId="43" fontId="0" fillId="0" borderId="7" xfId="1" applyFont="1" applyBorder="1" applyAlignment="1" applyProtection="1">
      <alignment horizontal="center" vertical="center"/>
      <protection hidden="1"/>
    </xf>
    <xf numFmtId="0" fontId="0" fillId="0" borderId="16" xfId="0" applyBorder="1" applyAlignment="1" applyProtection="1">
      <alignment vertical="center"/>
      <protection locked="0"/>
    </xf>
    <xf numFmtId="0" fontId="0" fillId="0" borderId="17" xfId="0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2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5" borderId="0" xfId="0" applyFont="1" applyFill="1" applyAlignment="1">
      <alignment horizontal="left"/>
    </xf>
    <xf numFmtId="10" fontId="27" fillId="5" borderId="0" xfId="0" applyNumberFormat="1" applyFont="1" applyFill="1" applyAlignment="1">
      <alignment horizontal="center" vertical="center"/>
    </xf>
    <xf numFmtId="44" fontId="28" fillId="5" borderId="0" xfId="2" applyFont="1" applyFill="1" applyAlignment="1">
      <alignment horizontal="center" vertical="center"/>
    </xf>
    <xf numFmtId="44" fontId="4" fillId="0" borderId="4" xfId="2" applyFont="1" applyBorder="1" applyAlignment="1" applyProtection="1">
      <alignment horizontal="center" vertical="center"/>
      <protection locked="0"/>
    </xf>
    <xf numFmtId="44" fontId="4" fillId="0" borderId="5" xfId="2" applyFont="1" applyBorder="1" applyAlignment="1" applyProtection="1">
      <alignment horizontal="center" vertical="center"/>
      <protection locked="0"/>
    </xf>
    <xf numFmtId="44" fontId="4" fillId="0" borderId="6" xfId="2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3"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23</xdr:row>
      <xdr:rowOff>15240</xdr:rowOff>
    </xdr:from>
    <xdr:to>
      <xdr:col>7</xdr:col>
      <xdr:colOff>30480</xdr:colOff>
      <xdr:row>26</xdr:row>
      <xdr:rowOff>30480</xdr:rowOff>
    </xdr:to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ECABFA63-E48C-4E1C-A45B-61ADC2205B63}"/>
            </a:ext>
          </a:extLst>
        </xdr:cNvPr>
        <xdr:cNvSpPr/>
      </xdr:nvSpPr>
      <xdr:spPr>
        <a:xfrm>
          <a:off x="1516380" y="4457700"/>
          <a:ext cx="7406640" cy="541020"/>
        </a:xfrm>
        <a:prstGeom prst="roundRect">
          <a:avLst/>
        </a:prstGeom>
        <a:solidFill>
          <a:schemeClr val="tx2">
            <a:lumMod val="40000"/>
            <a:lumOff val="60000"/>
            <a:alpha val="25882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800" b="1">
              <a:solidFill>
                <a:sysClr val="windowText" lastClr="000000"/>
              </a:solidFill>
            </a:rPr>
            <a:t>Deducibles</a:t>
          </a:r>
        </a:p>
      </xdr:txBody>
    </xdr:sp>
    <xdr:clientData/>
  </xdr:twoCellAnchor>
  <xdr:twoCellAnchor>
    <xdr:from>
      <xdr:col>2</xdr:col>
      <xdr:colOff>22860</xdr:colOff>
      <xdr:row>1</xdr:row>
      <xdr:rowOff>45720</xdr:rowOff>
    </xdr:from>
    <xdr:to>
      <xdr:col>11</xdr:col>
      <xdr:colOff>15240</xdr:colOff>
      <xdr:row>3</xdr:row>
      <xdr:rowOff>114300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14969ED4-9D68-FEAA-FB30-5A06B7ADD2D8}"/>
            </a:ext>
          </a:extLst>
        </xdr:cNvPr>
        <xdr:cNvSpPr/>
      </xdr:nvSpPr>
      <xdr:spPr>
        <a:xfrm>
          <a:off x="1516380" y="220980"/>
          <a:ext cx="10454640" cy="822960"/>
        </a:xfrm>
        <a:prstGeom prst="roundRect">
          <a:avLst/>
        </a:prstGeom>
        <a:solidFill>
          <a:srgbClr val="0070C0">
            <a:alpha val="2588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3600">
              <a:solidFill>
                <a:sysClr val="windowText" lastClr="000000"/>
              </a:solidFill>
            </a:rPr>
            <a:t>C O T I Z A D O R</a:t>
          </a:r>
          <a:r>
            <a:rPr lang="en-US" sz="3600" baseline="0">
              <a:solidFill>
                <a:sysClr val="windowText" lastClr="000000"/>
              </a:solidFill>
            </a:rPr>
            <a:t>  V E H I C U L A R</a:t>
          </a:r>
          <a:endParaRPr lang="en-US" sz="36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8</xdr:col>
      <xdr:colOff>728980</xdr:colOff>
      <xdr:row>1</xdr:row>
      <xdr:rowOff>44450</xdr:rowOff>
    </xdr:from>
    <xdr:to>
      <xdr:col>10</xdr:col>
      <xdr:colOff>800100</xdr:colOff>
      <xdr:row>3</xdr:row>
      <xdr:rowOff>107950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DE92C1-B499-4D65-9E03-478208D04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8280" y="219710"/>
          <a:ext cx="1397000" cy="817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22860</xdr:colOff>
      <xdr:row>5</xdr:row>
      <xdr:rowOff>0</xdr:rowOff>
    </xdr:from>
    <xdr:to>
      <xdr:col>3</xdr:col>
      <xdr:colOff>1584960</xdr:colOff>
      <xdr:row>8</xdr:row>
      <xdr:rowOff>15240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C569F3D9-CF79-4E00-9E3E-7913E64F8828}"/>
            </a:ext>
          </a:extLst>
        </xdr:cNvPr>
        <xdr:cNvSpPr/>
      </xdr:nvSpPr>
      <xdr:spPr>
        <a:xfrm>
          <a:off x="1516380" y="1280160"/>
          <a:ext cx="3429000" cy="541020"/>
        </a:xfrm>
        <a:prstGeom prst="roundRect">
          <a:avLst/>
        </a:prstGeom>
        <a:solidFill>
          <a:schemeClr val="tx2">
            <a:lumMod val="40000"/>
            <a:lumOff val="60000"/>
            <a:alpha val="25882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800" b="1">
              <a:solidFill>
                <a:sysClr val="windowText" lastClr="000000"/>
              </a:solidFill>
            </a:rPr>
            <a:t>Información</a:t>
          </a:r>
          <a:r>
            <a:rPr lang="en-US" sz="1800" b="1" baseline="0">
              <a:solidFill>
                <a:sysClr val="windowText" lastClr="000000"/>
              </a:solidFill>
            </a:rPr>
            <a:t> Personal </a:t>
          </a:r>
          <a:endParaRPr 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6</xdr:col>
      <xdr:colOff>1329072</xdr:colOff>
      <xdr:row>1</xdr:row>
      <xdr:rowOff>68581</xdr:rowOff>
    </xdr:from>
    <xdr:to>
      <xdr:col>8</xdr:col>
      <xdr:colOff>228600</xdr:colOff>
      <xdr:row>3</xdr:row>
      <xdr:rowOff>85083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F12DFF1-0CAB-EE13-0D81-377F83BBE4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8669"/>
        <a:stretch>
          <a:fillRect/>
        </a:stretch>
      </xdr:blipFill>
      <xdr:spPr>
        <a:xfrm>
          <a:off x="8446152" y="243841"/>
          <a:ext cx="1421748" cy="770882"/>
        </a:xfrm>
        <a:prstGeom prst="rect">
          <a:avLst/>
        </a:prstGeom>
      </xdr:spPr>
    </xdr:pic>
    <xdr:clientData/>
  </xdr:twoCellAnchor>
  <xdr:twoCellAnchor editAs="oneCell">
    <xdr:from>
      <xdr:col>3</xdr:col>
      <xdr:colOff>1036320</xdr:colOff>
      <xdr:row>5</xdr:row>
      <xdr:rowOff>68580</xdr:rowOff>
    </xdr:from>
    <xdr:to>
      <xdr:col>3</xdr:col>
      <xdr:colOff>1447800</xdr:colOff>
      <xdr:row>7</xdr:row>
      <xdr:rowOff>129540</xdr:rowOff>
    </xdr:to>
    <xdr:pic>
      <xdr:nvPicPr>
        <xdr:cNvPr id="16" name="Gráfico 15" descr="Usuario con relleno sólido">
          <a:extLst>
            <a:ext uri="{FF2B5EF4-FFF2-40B4-BE49-F238E27FC236}">
              <a16:creationId xmlns:a16="http://schemas.microsoft.com/office/drawing/2014/main" id="{2E3CDE5A-0DD3-BF76-59BF-DB0D714CC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396740" y="1348740"/>
          <a:ext cx="411480" cy="41148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</xdr:row>
      <xdr:rowOff>167640</xdr:rowOff>
    </xdr:from>
    <xdr:to>
      <xdr:col>7</xdr:col>
      <xdr:colOff>0</xdr:colOff>
      <xdr:row>8</xdr:row>
      <xdr:rowOff>0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82E25A9-4017-4430-AE39-D474191CE220}"/>
            </a:ext>
          </a:extLst>
        </xdr:cNvPr>
        <xdr:cNvSpPr/>
      </xdr:nvSpPr>
      <xdr:spPr>
        <a:xfrm>
          <a:off x="5402580" y="1272540"/>
          <a:ext cx="3489960" cy="533400"/>
        </a:xfrm>
        <a:prstGeom prst="roundRect">
          <a:avLst/>
        </a:prstGeom>
        <a:solidFill>
          <a:schemeClr val="tx2">
            <a:lumMod val="40000"/>
            <a:lumOff val="60000"/>
            <a:alpha val="25882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800" b="1">
              <a:solidFill>
                <a:sysClr val="windowText" lastClr="000000"/>
              </a:solidFill>
            </a:rPr>
            <a:t>Información</a:t>
          </a:r>
          <a:r>
            <a:rPr lang="en-US" sz="1800" b="1" baseline="0">
              <a:solidFill>
                <a:sysClr val="windowText" lastClr="000000"/>
              </a:solidFill>
            </a:rPr>
            <a:t> Vehicular</a:t>
          </a:r>
          <a:endParaRPr 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6</xdr:col>
      <xdr:colOff>1188720</xdr:colOff>
      <xdr:row>5</xdr:row>
      <xdr:rowOff>60960</xdr:rowOff>
    </xdr:from>
    <xdr:to>
      <xdr:col>6</xdr:col>
      <xdr:colOff>1600200</xdr:colOff>
      <xdr:row>7</xdr:row>
      <xdr:rowOff>121920</xdr:rowOff>
    </xdr:to>
    <xdr:pic>
      <xdr:nvPicPr>
        <xdr:cNvPr id="19" name="Gráfico 18" descr="Coche con relleno sólido">
          <a:extLst>
            <a:ext uri="{FF2B5EF4-FFF2-40B4-BE49-F238E27FC236}">
              <a16:creationId xmlns:a16="http://schemas.microsoft.com/office/drawing/2014/main" id="{7284D8DC-0236-5C30-6EB7-DC76D3ED0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305800" y="1341120"/>
          <a:ext cx="411480" cy="411480"/>
        </a:xfrm>
        <a:prstGeom prst="rect">
          <a:avLst/>
        </a:prstGeom>
      </xdr:spPr>
    </xdr:pic>
    <xdr:clientData/>
  </xdr:twoCellAnchor>
  <xdr:twoCellAnchor>
    <xdr:from>
      <xdr:col>8</xdr:col>
      <xdr:colOff>15240</xdr:colOff>
      <xdr:row>5</xdr:row>
      <xdr:rowOff>15240</xdr:rowOff>
    </xdr:from>
    <xdr:to>
      <xdr:col>11</xdr:col>
      <xdr:colOff>15240</xdr:colOff>
      <xdr:row>8</xdr:row>
      <xdr:rowOff>22860</xdr:rowOff>
    </xdr:to>
    <xdr:sp macro="" textlink="">
      <xdr:nvSpPr>
        <xdr:cNvPr id="20" name="Rectángulo: esquinas redondeadas 19">
          <a:extLst>
            <a:ext uri="{FF2B5EF4-FFF2-40B4-BE49-F238E27FC236}">
              <a16:creationId xmlns:a16="http://schemas.microsoft.com/office/drawing/2014/main" id="{CF797492-B88C-4F10-80B6-519AAC500362}"/>
            </a:ext>
          </a:extLst>
        </xdr:cNvPr>
        <xdr:cNvSpPr/>
      </xdr:nvSpPr>
      <xdr:spPr>
        <a:xfrm>
          <a:off x="9654540" y="1295400"/>
          <a:ext cx="2316480" cy="533400"/>
        </a:xfrm>
        <a:prstGeom prst="roundRect">
          <a:avLst/>
        </a:prstGeom>
        <a:solidFill>
          <a:schemeClr val="tx2">
            <a:lumMod val="40000"/>
            <a:lumOff val="60000"/>
            <a:alpha val="25882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800" b="1">
              <a:solidFill>
                <a:sysClr val="windowText" lastClr="000000"/>
              </a:solidFill>
            </a:rPr>
            <a:t>Resultados</a:t>
          </a:r>
        </a:p>
      </xdr:txBody>
    </xdr:sp>
    <xdr:clientData/>
  </xdr:twoCellAnchor>
  <xdr:twoCellAnchor editAs="oneCell">
    <xdr:from>
      <xdr:col>10</xdr:col>
      <xdr:colOff>350520</xdr:colOff>
      <xdr:row>5</xdr:row>
      <xdr:rowOff>76200</xdr:rowOff>
    </xdr:from>
    <xdr:to>
      <xdr:col>10</xdr:col>
      <xdr:colOff>762000</xdr:colOff>
      <xdr:row>7</xdr:row>
      <xdr:rowOff>137160</xdr:rowOff>
    </xdr:to>
    <xdr:pic>
      <xdr:nvPicPr>
        <xdr:cNvPr id="22" name="Gráfico 21" descr="Aula de clases con relleno sólido">
          <a:extLst>
            <a:ext uri="{FF2B5EF4-FFF2-40B4-BE49-F238E27FC236}">
              <a16:creationId xmlns:a16="http://schemas.microsoft.com/office/drawing/2014/main" id="{1A7AE8BD-3BC7-76D9-103D-41207BFC4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1315700" y="1356360"/>
          <a:ext cx="411480" cy="411480"/>
        </a:xfrm>
        <a:prstGeom prst="rect">
          <a:avLst/>
        </a:prstGeom>
      </xdr:spPr>
    </xdr:pic>
    <xdr:clientData/>
  </xdr:twoCellAnchor>
  <xdr:twoCellAnchor editAs="oneCell">
    <xdr:from>
      <xdr:col>6</xdr:col>
      <xdr:colOff>1272540</xdr:colOff>
      <xdr:row>23</xdr:row>
      <xdr:rowOff>76200</xdr:rowOff>
    </xdr:from>
    <xdr:to>
      <xdr:col>6</xdr:col>
      <xdr:colOff>1684020</xdr:colOff>
      <xdr:row>25</xdr:row>
      <xdr:rowOff>137160</xdr:rowOff>
    </xdr:to>
    <xdr:pic>
      <xdr:nvPicPr>
        <xdr:cNvPr id="24" name="Gráfico 23" descr="Lista de comprobación con relleno sólido">
          <a:extLst>
            <a:ext uri="{FF2B5EF4-FFF2-40B4-BE49-F238E27FC236}">
              <a16:creationId xmlns:a16="http://schemas.microsoft.com/office/drawing/2014/main" id="{0744E171-DD7D-3299-8DB3-805C72A17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389620" y="4518660"/>
          <a:ext cx="411480" cy="41148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31</xdr:row>
      <xdr:rowOff>114300</xdr:rowOff>
    </xdr:from>
    <xdr:to>
      <xdr:col>11</xdr:col>
      <xdr:colOff>0</xdr:colOff>
      <xdr:row>43</xdr:row>
      <xdr:rowOff>30480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BF1BA5A2-D552-FC51-A7BB-E07C00829E2B}"/>
            </a:ext>
          </a:extLst>
        </xdr:cNvPr>
        <xdr:cNvSpPr/>
      </xdr:nvSpPr>
      <xdr:spPr>
        <a:xfrm>
          <a:off x="1501140" y="5958840"/>
          <a:ext cx="10355580" cy="21869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COBERTURAS</a:t>
          </a:r>
          <a:r>
            <a:rPr lang="en-US" b="1">
              <a:effectLst/>
            </a:rPr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Responsabilidad Civil LUC $ 30.000,oo</a:t>
          </a:r>
          <a:r>
            <a:rPr lang="en-US">
              <a:effectLst/>
            </a:rPr>
            <a:t>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Muerte accidental $ 3.000,oo por ocupante (para los vehículos de alquiler y pesados se limita a máximo 2 ocupantes) </a:t>
          </a:r>
          <a:r>
            <a:rPr lang="en-US">
              <a:effectLst/>
            </a:rPr>
            <a:t>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Gastos médicos por ocupante $ 2.000,oo (para los vehículos de alquiler y pesados se limita a máximo 2 ocupantes) </a:t>
          </a:r>
          <a:r>
            <a:rPr lang="en-US">
              <a:effectLst/>
            </a:rPr>
            <a:t>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Gastos de remolque por accidente y avería (reembolsable) $ 250.oo en exceso a la asistencia vehicular, para vehículos livianos máximo 3 veces al año </a:t>
          </a:r>
          <a:r>
            <a:rPr lang="en-US">
              <a:effectLst/>
            </a:rPr>
            <a:t>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Gastos de remolque por accidente y avería (reembolsable) $ 250.oo, para vehículos de alquiler, máximo 3 veces al año</a:t>
          </a:r>
          <a:r>
            <a:rPr lang="en-US">
              <a:effectLst/>
            </a:rPr>
            <a:t>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Gastos de remolque por accidente y avería (reembolsable) $ 500.oo para vehículos pesados, máximo 3 veces al año</a:t>
          </a:r>
          <a:r>
            <a:rPr lang="en-US">
              <a:effectLst/>
            </a:rPr>
            <a:t>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Gastos de sepelio solo para conductor $.250.00</a:t>
          </a:r>
          <a:r>
            <a:rPr lang="en-US">
              <a:effectLst/>
            </a:rPr>
            <a:t>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Notificación de siniestros 10 días hábiles</a:t>
          </a:r>
          <a:r>
            <a:rPr lang="en-US">
              <a:effectLst/>
            </a:rPr>
            <a:t>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Auto sustituto para livianos particulares (cuando el monto aprobado en siniestros supere los $ 1.300,00 se otorgará un Auto Suplente por 10 días – vehículo clase económica).</a:t>
          </a:r>
          <a:r>
            <a:rPr lang="en-US">
              <a:effectLst/>
            </a:rPr>
            <a:t> </a:t>
          </a:r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7620</xdr:colOff>
      <xdr:row>43</xdr:row>
      <xdr:rowOff>129540</xdr:rowOff>
    </xdr:from>
    <xdr:to>
      <xdr:col>11</xdr:col>
      <xdr:colOff>4572</xdr:colOff>
      <xdr:row>58</xdr:row>
      <xdr:rowOff>106680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8F75DF71-47A7-4001-A427-5FC9FE676A79}"/>
            </a:ext>
          </a:extLst>
        </xdr:cNvPr>
        <xdr:cNvSpPr/>
      </xdr:nvSpPr>
      <xdr:spPr>
        <a:xfrm>
          <a:off x="1501140" y="8244840"/>
          <a:ext cx="10360152" cy="269748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CLAUSULAS</a:t>
          </a:r>
          <a:r>
            <a:rPr lang="en-US" b="1">
              <a:effectLst/>
            </a:rPr>
            <a:t>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Pago de primas 15 días</a:t>
          </a:r>
          <a:r>
            <a:rPr lang="en-US">
              <a:effectLst/>
            </a:rPr>
            <a:t>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Cancelación de póliza 30 días</a:t>
          </a:r>
          <a:r>
            <a:rPr lang="en-US">
              <a:effectLst/>
            </a:rPr>
            <a:t>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adhesión</a:t>
          </a:r>
          <a:r>
            <a:rPr lang="en-US">
              <a:effectLst/>
            </a:rPr>
            <a:t>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 Depreciación en partes y piezas</a:t>
          </a:r>
          <a:r>
            <a:rPr lang="en-US">
              <a:effectLst/>
            </a:rPr>
            <a:t>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Cobertura para Air Bag al 100% a consecuencia de un evento amparado por la póliza</a:t>
          </a:r>
          <a:r>
            <a:rPr lang="en-US">
              <a:effectLst/>
            </a:rPr>
            <a:t>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Cláusula de cancelación de póliza a prorrata</a:t>
          </a:r>
          <a:r>
            <a:rPr lang="en-US">
              <a:effectLst/>
            </a:rPr>
            <a:t>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Cláusula de no cancelación individual</a:t>
          </a:r>
          <a:r>
            <a:rPr lang="en-US">
              <a:effectLst/>
            </a:rPr>
            <a:t>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Tarjeta de asistencia</a:t>
          </a:r>
          <a:r>
            <a:rPr lang="en-US">
              <a:effectLst/>
            </a:rPr>
            <a:t>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Primera opción de compra</a:t>
          </a:r>
          <a:r>
            <a:rPr lang="en-US">
              <a:effectLst/>
            </a:rPr>
            <a:t>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Amparo automático de nuevos accesorios hasta el 10% del valor del casco</a:t>
          </a:r>
          <a:r>
            <a:rPr lang="en-US">
              <a:effectLst/>
            </a:rPr>
            <a:t>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 costo RASA</a:t>
          </a:r>
          <a:r>
            <a:rPr lang="en-US">
              <a:effectLst/>
            </a:rPr>
            <a:t>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 aplica cláusula de Infraseguro</a:t>
          </a:r>
          <a:r>
            <a:rPr lang="en-US">
              <a:effectLst/>
            </a:rPr>
            <a:t>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Amparo patrimonial, vehículos alquiler y pesados – choferes asalariados   </a:t>
          </a:r>
          <a:r>
            <a:rPr lang="en-US">
              <a:effectLst/>
            </a:rPr>
            <a:t> </a:t>
          </a:r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7620</xdr:colOff>
      <xdr:row>59</xdr:row>
      <xdr:rowOff>30480</xdr:rowOff>
    </xdr:from>
    <xdr:to>
      <xdr:col>11</xdr:col>
      <xdr:colOff>4572</xdr:colOff>
      <xdr:row>67</xdr:row>
      <xdr:rowOff>83820</xdr:rowOff>
    </xdr:to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8F3BE58C-C61F-433C-8171-66496D3EA5BA}"/>
            </a:ext>
          </a:extLst>
        </xdr:cNvPr>
        <xdr:cNvSpPr/>
      </xdr:nvSpPr>
      <xdr:spPr>
        <a:xfrm>
          <a:off x="1501140" y="11041380"/>
          <a:ext cx="10360152" cy="14554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EXCLUSIONES</a:t>
          </a:r>
          <a:r>
            <a:rPr lang="en-US" b="1">
              <a:effectLst/>
            </a:rPr>
            <a:t>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Mientras el vehículo haya sido utilizado para actividades distintas al uso descrito en la solicitud.</a:t>
          </a:r>
          <a:r>
            <a:rPr lang="en-US">
              <a:effectLst/>
            </a:rPr>
            <a:t>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Secuestro, embargo, requisición y otros actos de las autoridades civiles y militares; o la pérdida o daño que ocurra o se descubra después   del abandono o entrega del vehículo por orden de tal autoridad.</a:t>
          </a:r>
          <a:r>
            <a:rPr lang="en-US">
              <a:effectLst/>
            </a:rPr>
            <a:t>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daños sufridos al vehículo asegurado mientras se encuentre detenido en cualquier curso de agua, río, arenal, playa de mar, lago o terreno no destinado para el tránsito de vehículos a motor.</a:t>
          </a:r>
          <a:r>
            <a:rPr lang="en-US">
              <a:effectLst/>
            </a:rPr>
            <a:t>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Guerra internacional o civil y eventos similares de guerra; sean estos declarados o no, terrorismo y sabotaje.</a:t>
          </a:r>
          <a:r>
            <a:rPr lang="en-US">
              <a:effectLst/>
            </a:rPr>
            <a:t> </a:t>
          </a:r>
        </a:p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35858</xdr:colOff>
      <xdr:row>1</xdr:row>
      <xdr:rowOff>26895</xdr:rowOff>
    </xdr:from>
    <xdr:to>
      <xdr:col>12</xdr:col>
      <xdr:colOff>35858</xdr:colOff>
      <xdr:row>4</xdr:row>
      <xdr:rowOff>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559F9EF9-4EF7-45A6-8F19-F3B1141F6FA0}"/>
            </a:ext>
          </a:extLst>
        </xdr:cNvPr>
        <xdr:cNvSpPr/>
      </xdr:nvSpPr>
      <xdr:spPr>
        <a:xfrm>
          <a:off x="779929" y="152401"/>
          <a:ext cx="11932023" cy="541020"/>
        </a:xfrm>
        <a:prstGeom prst="roundRect">
          <a:avLst/>
        </a:prstGeom>
        <a:solidFill>
          <a:schemeClr val="tx2">
            <a:lumMod val="40000"/>
            <a:lumOff val="60000"/>
            <a:alpha val="25882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</a:rPr>
            <a:t>Parametrización del cotizador</a:t>
          </a:r>
          <a:r>
            <a:rPr lang="en-US" sz="1800" b="1" baseline="0">
              <a:solidFill>
                <a:sysClr val="windowText" lastClr="000000"/>
              </a:solidFill>
            </a:rPr>
            <a:t> de vehículos</a:t>
          </a:r>
          <a:endParaRPr lang="en-US" sz="18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ec-blog.patiotuerca.com/blog/los-autos-mas-robados-del-202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6"/>
  <sheetViews>
    <sheetView showGridLines="0" workbookViewId="0">
      <selection activeCell="B2" sqref="B2:I14"/>
    </sheetView>
  </sheetViews>
  <sheetFormatPr baseColWidth="10" defaultColWidth="10.90625" defaultRowHeight="10.5" x14ac:dyDescent="0.25"/>
  <cols>
    <col min="1" max="1" width="10.90625" style="21"/>
    <col min="2" max="2" width="56.54296875" style="21" customWidth="1"/>
    <col min="3" max="3" width="13.54296875" style="25" bestFit="1" customWidth="1"/>
    <col min="4" max="7" width="10.90625" style="25"/>
    <col min="8" max="8" width="14.453125" style="21" customWidth="1"/>
    <col min="9" max="16384" width="10.90625" style="21"/>
  </cols>
  <sheetData>
    <row r="2" spans="2:9" s="22" customFormat="1" ht="29.15" customHeight="1" x14ac:dyDescent="0.35">
      <c r="B2" s="26" t="s">
        <v>63</v>
      </c>
      <c r="C2" s="26" t="s">
        <v>64</v>
      </c>
      <c r="D2" s="26" t="s">
        <v>67</v>
      </c>
      <c r="E2" s="26" t="s">
        <v>68</v>
      </c>
      <c r="F2" s="26" t="s">
        <v>69</v>
      </c>
      <c r="G2" s="26" t="s">
        <v>73</v>
      </c>
      <c r="H2" s="26" t="s">
        <v>42</v>
      </c>
      <c r="I2" s="26" t="s">
        <v>14</v>
      </c>
    </row>
    <row r="3" spans="2:9" s="23" customFormat="1" ht="18" customHeight="1" x14ac:dyDescent="0.35">
      <c r="B3" s="27" t="s">
        <v>75</v>
      </c>
      <c r="C3" s="28" t="s">
        <v>74</v>
      </c>
      <c r="D3" s="29">
        <v>1</v>
      </c>
      <c r="E3" s="29">
        <v>1</v>
      </c>
      <c r="F3" s="29">
        <v>1</v>
      </c>
      <c r="G3" s="29">
        <v>1</v>
      </c>
      <c r="H3" s="30">
        <v>0.18</v>
      </c>
      <c r="I3" s="31">
        <v>3.5999999999999997E-2</v>
      </c>
    </row>
    <row r="4" spans="2:9" s="23" customFormat="1" ht="18" customHeight="1" x14ac:dyDescent="0.35">
      <c r="B4" s="27" t="s">
        <v>75</v>
      </c>
      <c r="C4" s="28" t="s">
        <v>74</v>
      </c>
      <c r="D4" s="32">
        <v>2</v>
      </c>
      <c r="E4" s="32">
        <v>2</v>
      </c>
      <c r="F4" s="32">
        <v>2</v>
      </c>
      <c r="G4" s="32">
        <v>2</v>
      </c>
      <c r="H4" s="33">
        <v>0.15</v>
      </c>
      <c r="I4" s="34">
        <v>3.4000000000000002E-2</v>
      </c>
    </row>
    <row r="5" spans="2:9" s="23" customFormat="1" ht="18" customHeight="1" x14ac:dyDescent="0.35">
      <c r="B5" s="27" t="s">
        <v>75</v>
      </c>
      <c r="C5" s="28" t="s">
        <v>74</v>
      </c>
      <c r="D5" s="35">
        <v>3</v>
      </c>
      <c r="E5" s="35">
        <v>3</v>
      </c>
      <c r="F5" s="35">
        <v>3</v>
      </c>
      <c r="G5" s="35">
        <v>3</v>
      </c>
      <c r="H5" s="36">
        <v>0.1</v>
      </c>
      <c r="I5" s="37">
        <v>3.2000000000000001E-2</v>
      </c>
    </row>
    <row r="6" spans="2:9" s="23" customFormat="1" ht="18" customHeight="1" x14ac:dyDescent="0.35">
      <c r="B6" s="27" t="s">
        <v>75</v>
      </c>
      <c r="C6" s="28" t="s">
        <v>76</v>
      </c>
      <c r="D6" s="29">
        <v>1</v>
      </c>
      <c r="E6" s="29">
        <v>1</v>
      </c>
      <c r="F6" s="29">
        <v>1</v>
      </c>
      <c r="G6" s="29">
        <v>1</v>
      </c>
      <c r="H6" s="30">
        <v>0.18</v>
      </c>
      <c r="I6" s="31">
        <v>3.5000000000000003E-2</v>
      </c>
    </row>
    <row r="7" spans="2:9" s="23" customFormat="1" ht="18" customHeight="1" x14ac:dyDescent="0.35">
      <c r="B7" s="27" t="s">
        <v>75</v>
      </c>
      <c r="C7" s="28" t="s">
        <v>76</v>
      </c>
      <c r="D7" s="32">
        <v>2</v>
      </c>
      <c r="E7" s="32">
        <v>2</v>
      </c>
      <c r="F7" s="32">
        <v>2</v>
      </c>
      <c r="G7" s="32">
        <v>2</v>
      </c>
      <c r="H7" s="33">
        <v>0.15</v>
      </c>
      <c r="I7" s="34">
        <v>3.3000000000000002E-2</v>
      </c>
    </row>
    <row r="8" spans="2:9" s="23" customFormat="1" ht="18" customHeight="1" x14ac:dyDescent="0.35">
      <c r="B8" s="27" t="s">
        <v>75</v>
      </c>
      <c r="C8" s="28" t="s">
        <v>76</v>
      </c>
      <c r="D8" s="35">
        <v>3</v>
      </c>
      <c r="E8" s="35">
        <v>3</v>
      </c>
      <c r="F8" s="35">
        <v>3</v>
      </c>
      <c r="G8" s="35">
        <v>3</v>
      </c>
      <c r="H8" s="36">
        <v>0.1</v>
      </c>
      <c r="I8" s="37">
        <v>3.1E-2</v>
      </c>
    </row>
    <row r="9" spans="2:9" s="23" customFormat="1" ht="29.4" customHeight="1" x14ac:dyDescent="0.35">
      <c r="B9" s="38" t="s">
        <v>65</v>
      </c>
      <c r="C9" s="28" t="s">
        <v>77</v>
      </c>
      <c r="D9" s="29">
        <v>1</v>
      </c>
      <c r="E9" s="29">
        <v>1</v>
      </c>
      <c r="F9" s="29">
        <v>1</v>
      </c>
      <c r="G9" s="29">
        <v>1</v>
      </c>
      <c r="H9" s="30">
        <v>0.15</v>
      </c>
      <c r="I9" s="31">
        <v>2.9000000000000001E-2</v>
      </c>
    </row>
    <row r="10" spans="2:9" s="23" customFormat="1" ht="29.4" customHeight="1" x14ac:dyDescent="0.35">
      <c r="B10" s="38" t="s">
        <v>65</v>
      </c>
      <c r="C10" s="28" t="s">
        <v>77</v>
      </c>
      <c r="D10" s="32">
        <v>2</v>
      </c>
      <c r="E10" s="32">
        <v>2</v>
      </c>
      <c r="F10" s="32">
        <v>2</v>
      </c>
      <c r="G10" s="32">
        <v>2</v>
      </c>
      <c r="H10" s="33">
        <v>0.15</v>
      </c>
      <c r="I10" s="34">
        <v>2.7E-2</v>
      </c>
    </row>
    <row r="11" spans="2:9" s="23" customFormat="1" ht="29.4" customHeight="1" x14ac:dyDescent="0.35">
      <c r="B11" s="38" t="s">
        <v>65</v>
      </c>
      <c r="C11" s="28" t="s">
        <v>77</v>
      </c>
      <c r="D11" s="35">
        <v>3</v>
      </c>
      <c r="E11" s="35">
        <v>3</v>
      </c>
      <c r="F11" s="35">
        <v>3</v>
      </c>
      <c r="G11" s="35">
        <v>3</v>
      </c>
      <c r="H11" s="36">
        <v>0.15</v>
      </c>
      <c r="I11" s="37">
        <v>2.5000000000000001E-2</v>
      </c>
    </row>
    <row r="12" spans="2:9" s="23" customFormat="1" ht="14.4" customHeight="1" x14ac:dyDescent="0.35">
      <c r="B12" s="27" t="s">
        <v>78</v>
      </c>
      <c r="C12" s="28" t="s">
        <v>77</v>
      </c>
      <c r="D12" s="29">
        <v>1</v>
      </c>
      <c r="E12" s="29">
        <v>1</v>
      </c>
      <c r="F12" s="29">
        <v>1</v>
      </c>
      <c r="G12" s="29">
        <v>1</v>
      </c>
      <c r="H12" s="30">
        <v>0.18</v>
      </c>
      <c r="I12" s="31">
        <v>4.9000000000000002E-2</v>
      </c>
    </row>
    <row r="13" spans="2:9" s="23" customFormat="1" ht="14.4" customHeight="1" x14ac:dyDescent="0.35">
      <c r="B13" s="27" t="s">
        <v>78</v>
      </c>
      <c r="C13" s="28" t="s">
        <v>77</v>
      </c>
      <c r="D13" s="32">
        <v>2</v>
      </c>
      <c r="E13" s="32">
        <v>2</v>
      </c>
      <c r="F13" s="32">
        <v>2</v>
      </c>
      <c r="G13" s="29">
        <v>1</v>
      </c>
      <c r="H13" s="33">
        <v>0.15</v>
      </c>
      <c r="I13" s="34">
        <v>4.5999999999999999E-2</v>
      </c>
    </row>
    <row r="14" spans="2:9" s="23" customFormat="1" ht="14.4" customHeight="1" x14ac:dyDescent="0.35">
      <c r="B14" s="27" t="s">
        <v>78</v>
      </c>
      <c r="C14" s="28" t="s">
        <v>77</v>
      </c>
      <c r="D14" s="35">
        <v>3</v>
      </c>
      <c r="E14" s="35">
        <v>3</v>
      </c>
      <c r="F14" s="35">
        <v>3</v>
      </c>
      <c r="G14" s="29">
        <v>1</v>
      </c>
      <c r="H14" s="36">
        <v>0.12</v>
      </c>
      <c r="I14" s="37">
        <v>4.3999999999999997E-2</v>
      </c>
    </row>
    <row r="15" spans="2:9" s="23" customFormat="1" ht="18" customHeight="1" x14ac:dyDescent="0.35">
      <c r="C15" s="24"/>
      <c r="D15" s="24"/>
      <c r="E15" s="24"/>
      <c r="F15" s="24"/>
      <c r="G15" s="24"/>
    </row>
    <row r="16" spans="2:9" ht="18" customHeight="1" x14ac:dyDescent="0.25"/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Y51"/>
  <sheetViews>
    <sheetView showGridLines="0" tabSelected="1" zoomScale="80" zoomScaleNormal="80" workbookViewId="0">
      <selection activeCell="M18" sqref="M18"/>
    </sheetView>
  </sheetViews>
  <sheetFormatPr baseColWidth="10" defaultColWidth="10.90625" defaultRowHeight="14" x14ac:dyDescent="0.3"/>
  <cols>
    <col min="1" max="1" width="4.08984375" style="18" customWidth="1"/>
    <col min="2" max="2" width="3.08984375" style="18" customWidth="1"/>
    <col min="3" max="3" width="27.1796875" style="18" bestFit="1" customWidth="1"/>
    <col min="4" max="4" width="23.36328125" style="18" bestFit="1" customWidth="1"/>
    <col min="5" max="5" width="6.453125" style="18" customWidth="1"/>
    <col min="6" max="6" width="22.90625" style="18" bestFit="1" customWidth="1"/>
    <col min="7" max="7" width="25.90625" style="18" customWidth="1"/>
    <col min="8" max="8" width="10.90625" style="18"/>
    <col min="9" max="9" width="15.36328125" style="18" customWidth="1"/>
    <col min="10" max="10" width="4" style="18" customWidth="1"/>
    <col min="11" max="11" width="13" style="18" customWidth="1"/>
    <col min="12" max="15" width="10.90625" style="18"/>
    <col min="16" max="17" width="10.90625" style="18" hidden="1" customWidth="1"/>
    <col min="18" max="18" width="17" style="18" hidden="1" customWidth="1"/>
    <col min="19" max="19" width="16.6328125" style="18" hidden="1" customWidth="1"/>
    <col min="20" max="20" width="18" style="18" hidden="1" customWidth="1"/>
    <col min="21" max="21" width="16" style="18" hidden="1" customWidth="1"/>
    <col min="22" max="22" width="19.81640625" style="18" hidden="1" customWidth="1"/>
    <col min="23" max="23" width="16.36328125" style="18" hidden="1" customWidth="1"/>
    <col min="24" max="25" width="10.90625" style="18" hidden="1" customWidth="1"/>
    <col min="26" max="26" width="0" style="18" hidden="1" customWidth="1"/>
    <col min="27" max="16384" width="10.90625" style="18"/>
  </cols>
  <sheetData>
    <row r="3" spans="3:25" ht="45.9" customHeight="1" x14ac:dyDescent="0.3">
      <c r="C3" s="60"/>
      <c r="D3" s="60"/>
      <c r="E3" s="60"/>
      <c r="F3" s="60"/>
    </row>
    <row r="4" spans="3:25" x14ac:dyDescent="0.3">
      <c r="C4" s="19"/>
    </row>
    <row r="5" spans="3:25" x14ac:dyDescent="0.3">
      <c r="C5" s="19" t="s">
        <v>32</v>
      </c>
    </row>
    <row r="6" spans="3:25" x14ac:dyDescent="0.3">
      <c r="C6" s="19" t="s">
        <v>33</v>
      </c>
    </row>
    <row r="7" spans="3:25" x14ac:dyDescent="0.3">
      <c r="C7" s="19"/>
      <c r="R7" s="59" t="s">
        <v>125</v>
      </c>
      <c r="S7" s="59" t="s">
        <v>128</v>
      </c>
      <c r="T7" s="59" t="s">
        <v>129</v>
      </c>
      <c r="U7" s="59" t="s">
        <v>89</v>
      </c>
      <c r="V7" s="59" t="s">
        <v>167</v>
      </c>
      <c r="W7" s="59" t="s">
        <v>88</v>
      </c>
      <c r="X7" s="59" t="s">
        <v>167</v>
      </c>
      <c r="Y7" s="59" t="s">
        <v>197</v>
      </c>
    </row>
    <row r="8" spans="3:25" x14ac:dyDescent="0.3">
      <c r="C8" s="20"/>
      <c r="R8" s="18" t="s">
        <v>87</v>
      </c>
      <c r="S8" s="18" t="s">
        <v>72</v>
      </c>
      <c r="T8" s="18" t="s">
        <v>143</v>
      </c>
      <c r="U8" s="18" t="s">
        <v>165</v>
      </c>
      <c r="V8" s="18">
        <v>1</v>
      </c>
      <c r="W8" s="18" t="s">
        <v>168</v>
      </c>
      <c r="X8" s="18" t="str">
        <f>IF(OR(G22=1, G22=2), "HASTA 2 AÑOS", IF(OR(G22=3, G22=4, G22=5), "HASTA 3 A 5 AÑOS", "Valor no válido"))</f>
        <v>HASTA 3 A 5 AÑOS</v>
      </c>
      <c r="Y8" s="18" t="s">
        <v>96</v>
      </c>
    </row>
    <row r="9" spans="3:25" x14ac:dyDescent="0.3">
      <c r="R9" s="18" t="s">
        <v>126</v>
      </c>
      <c r="S9" s="18" t="s">
        <v>79</v>
      </c>
      <c r="T9" s="18" t="s">
        <v>130</v>
      </c>
      <c r="U9" s="18" t="s">
        <v>166</v>
      </c>
      <c r="V9" s="18">
        <v>2</v>
      </c>
      <c r="W9" s="18" t="s">
        <v>169</v>
      </c>
      <c r="Y9" s="18" t="s">
        <v>198</v>
      </c>
    </row>
    <row r="10" spans="3:25" x14ac:dyDescent="0.3">
      <c r="C10" s="61" t="s">
        <v>178</v>
      </c>
      <c r="D10" s="62" t="s">
        <v>85</v>
      </c>
      <c r="F10" s="61" t="s">
        <v>183</v>
      </c>
      <c r="G10" s="62" t="s">
        <v>130</v>
      </c>
      <c r="I10" s="64" t="s">
        <v>14</v>
      </c>
      <c r="J10" s="63"/>
      <c r="K10" s="65" t="s">
        <v>84</v>
      </c>
      <c r="R10" s="18" t="s">
        <v>127</v>
      </c>
      <c r="S10" s="18" t="s">
        <v>71</v>
      </c>
      <c r="T10" s="18" t="s">
        <v>131</v>
      </c>
      <c r="V10" s="18">
        <v>3</v>
      </c>
      <c r="W10" s="18" t="s">
        <v>170</v>
      </c>
    </row>
    <row r="11" spans="3:25" ht="13.75" customHeight="1" x14ac:dyDescent="0.3">
      <c r="I11" s="109">
        <f>AVERAGE(P12:P20)</f>
        <v>3.5555555555555562E-2</v>
      </c>
      <c r="J11" s="63"/>
      <c r="K11" s="110">
        <f>'MODELO MENSUALIZADO'!K5</f>
        <v>101.76804068794077</v>
      </c>
      <c r="T11" s="18" t="s">
        <v>132</v>
      </c>
      <c r="V11" s="18">
        <v>4</v>
      </c>
      <c r="W11" s="18" t="s">
        <v>171</v>
      </c>
    </row>
    <row r="12" spans="3:25" ht="13.75" customHeight="1" x14ac:dyDescent="0.3">
      <c r="C12" s="61" t="s">
        <v>179</v>
      </c>
      <c r="D12" s="62" t="s">
        <v>166</v>
      </c>
      <c r="F12" s="61" t="s">
        <v>184</v>
      </c>
      <c r="G12" s="62" t="s">
        <v>141</v>
      </c>
      <c r="I12" s="109"/>
      <c r="J12" s="66"/>
      <c r="K12" s="110"/>
      <c r="P12" s="58">
        <f>INDEX(PARAMETRIZACIÓN!B9:B11,MATCH("*"&amp;G12&amp;"*",PARAMETRIZACIÓN!E9:E11,0))</f>
        <v>4.2000000000000003E-2</v>
      </c>
      <c r="T12" s="18" t="s">
        <v>133</v>
      </c>
      <c r="V12" s="18">
        <v>5</v>
      </c>
      <c r="W12" s="18" t="s">
        <v>172</v>
      </c>
    </row>
    <row r="13" spans="3:25" x14ac:dyDescent="0.3">
      <c r="P13" s="58">
        <f>INDEX(PARAMETRIZACIÓN!B9:B11,MATCH("*"&amp;G16&amp;"*",PARAMETRIZACIÓN!I9:I11,0))</f>
        <v>3.5999999999999997E-2</v>
      </c>
      <c r="T13" s="18" t="s">
        <v>134</v>
      </c>
      <c r="W13" s="18" t="s">
        <v>173</v>
      </c>
    </row>
    <row r="14" spans="3:25" ht="14.4" customHeight="1" x14ac:dyDescent="0.3">
      <c r="C14" s="61" t="s">
        <v>180</v>
      </c>
      <c r="D14" s="63">
        <v>50</v>
      </c>
      <c r="F14" s="61" t="s">
        <v>185</v>
      </c>
      <c r="G14" s="62" t="s">
        <v>176</v>
      </c>
      <c r="I14" s="106" t="s">
        <v>190</v>
      </c>
      <c r="J14" s="107" t="str">
        <f>IF(P27=1,"ALTO",IF(P27=2,"MODERADO","BAJO"))</f>
        <v>ALTO</v>
      </c>
      <c r="K14" s="107"/>
      <c r="P14" s="58">
        <f>INDEX(PARAMETRIZACIÓN!B9:B11,MATCH("*"&amp;D16&amp;"*",PARAMETRIZACIÓN!G9:G11,0))</f>
        <v>4.2000000000000003E-2</v>
      </c>
      <c r="T14" s="18" t="s">
        <v>135</v>
      </c>
      <c r="W14" s="18" t="s">
        <v>174</v>
      </c>
    </row>
    <row r="15" spans="3:25" x14ac:dyDescent="0.3">
      <c r="I15" s="106"/>
      <c r="J15" s="107"/>
      <c r="K15" s="107"/>
      <c r="P15" s="58">
        <f>INDEX(PARAMETRIZACIÓN!B9:B11,MATCH("*"&amp;D18&amp;"*",PARAMETRIZACIÓN!H9:H11,0))</f>
        <v>4.2000000000000003E-2</v>
      </c>
      <c r="T15" s="18" t="s">
        <v>136</v>
      </c>
      <c r="W15" s="18" t="s">
        <v>175</v>
      </c>
    </row>
    <row r="16" spans="3:25" x14ac:dyDescent="0.3">
      <c r="C16" s="61" t="s">
        <v>181</v>
      </c>
      <c r="D16" s="62" t="s">
        <v>199</v>
      </c>
      <c r="F16" s="61" t="s">
        <v>186</v>
      </c>
      <c r="G16" s="62" t="s">
        <v>79</v>
      </c>
      <c r="P16" s="58">
        <f>INDEX(PARAMETRIZACIÓN!B9:B11,MATCH("*"&amp;G14&amp;"*",PARAMETRIZACIÓN!J9:J11,0))</f>
        <v>2.9000000000000001E-2</v>
      </c>
      <c r="T16" s="18" t="s">
        <v>137</v>
      </c>
      <c r="W16" s="18" t="s">
        <v>176</v>
      </c>
    </row>
    <row r="17" spans="3:20" x14ac:dyDescent="0.3">
      <c r="P17" s="58">
        <f>INDEX(PARAMETRIZACIÓN!B9:B11,MATCH("*"&amp;D12&amp;"*",PARAMETRIZACIÓN!K9:K11,0))</f>
        <v>3.5999999999999997E-2</v>
      </c>
      <c r="T17" s="18" t="s">
        <v>138</v>
      </c>
    </row>
    <row r="18" spans="3:20" x14ac:dyDescent="0.3">
      <c r="C18" s="61" t="s">
        <v>182</v>
      </c>
      <c r="D18" s="62" t="s">
        <v>87</v>
      </c>
      <c r="F18" s="61" t="s">
        <v>187</v>
      </c>
      <c r="G18" s="62" t="s">
        <v>198</v>
      </c>
      <c r="P18" s="58">
        <f>IF(D14&lt;25,PARAMETRIZACIÓN!B9,IF(D14&lt;45,PARAMETRIZACIÓN!B10,PARAMETRIZACIÓN!B11))</f>
        <v>2.9000000000000001E-2</v>
      </c>
      <c r="T18" s="18" t="s">
        <v>139</v>
      </c>
    </row>
    <row r="19" spans="3:20" x14ac:dyDescent="0.3">
      <c r="P19" s="58">
        <f>IF(G20&lt;20000,PARAMETRIZACIÓN!B9,IF(G20&lt;30000,PARAMETRIZACIÓN!B10,PARAMETRIZACIÓN!B11))</f>
        <v>2.9000000000000001E-2</v>
      </c>
      <c r="T19" s="18" t="s">
        <v>140</v>
      </c>
    </row>
    <row r="20" spans="3:20" x14ac:dyDescent="0.3">
      <c r="F20" s="61" t="s">
        <v>188</v>
      </c>
      <c r="G20" s="63">
        <v>40000</v>
      </c>
      <c r="P20" s="58" cm="1">
        <f t="array" ref="P20">SUMPRODUCT((PARAMETRIZACIÓN!C17:C22=X8)*(PARAMETRIZACIÓN!D17:D22=P27)*(PARAMETRIZACIÓN!B17:B22))</f>
        <v>3.5000000000000003E-2</v>
      </c>
      <c r="T20" s="18" t="s">
        <v>141</v>
      </c>
    </row>
    <row r="21" spans="3:20" x14ac:dyDescent="0.3">
      <c r="T21" s="18" t="s">
        <v>142</v>
      </c>
    </row>
    <row r="22" spans="3:20" x14ac:dyDescent="0.3">
      <c r="F22" s="61" t="s">
        <v>189</v>
      </c>
      <c r="G22" s="62">
        <v>4</v>
      </c>
      <c r="T22" s="18" t="s">
        <v>144</v>
      </c>
    </row>
    <row r="23" spans="3:20" x14ac:dyDescent="0.3">
      <c r="T23" s="18" t="s">
        <v>145</v>
      </c>
    </row>
    <row r="24" spans="3:20" x14ac:dyDescent="0.3">
      <c r="T24" s="18" t="s">
        <v>146</v>
      </c>
    </row>
    <row r="25" spans="3:20" x14ac:dyDescent="0.3">
      <c r="T25" s="18" t="s">
        <v>147</v>
      </c>
    </row>
    <row r="26" spans="3:20" x14ac:dyDescent="0.3">
      <c r="T26" s="18" t="s">
        <v>148</v>
      </c>
    </row>
    <row r="27" spans="3:20" x14ac:dyDescent="0.3">
      <c r="P27" s="18">
        <f>INDEX(PARAMETRIZACIÓN!D9:D11,MATCH("*"&amp;G12&amp;"*",PARAMETRIZACIÓN!E9:E11,0))</f>
        <v>1</v>
      </c>
      <c r="T27" s="18" t="s">
        <v>149</v>
      </c>
    </row>
    <row r="28" spans="3:20" x14ac:dyDescent="0.3">
      <c r="C28" s="61" t="s">
        <v>191</v>
      </c>
      <c r="D28" s="108" t="str">
        <f>INDEX(PARAMETRIZACIÓN!C35:C37,MATCH("*"&amp;J14&amp;"*",PARAMETRIZACIÓN!B35:B37,0))</f>
        <v>20% DEL VALOR DEL SINIESTRO MÍNIMO 700</v>
      </c>
      <c r="E28" s="108"/>
      <c r="F28" s="108"/>
      <c r="G28" s="108"/>
      <c r="T28" s="18" t="s">
        <v>150</v>
      </c>
    </row>
    <row r="29" spans="3:20" x14ac:dyDescent="0.3">
      <c r="T29" s="18" t="s">
        <v>151</v>
      </c>
    </row>
    <row r="30" spans="3:20" x14ac:dyDescent="0.3">
      <c r="C30" s="61" t="s">
        <v>192</v>
      </c>
      <c r="D30" s="108" t="str">
        <f>INDEX(PARAMETRIZACIÓN!D35:D37,MATCH("*"&amp;J14&amp;"*",PARAMETRIZACIÓN!B35:B37,0))</f>
        <v>20% DEL VALOR ASEGURADO</v>
      </c>
      <c r="E30" s="108"/>
      <c r="F30" s="108"/>
      <c r="G30" s="108"/>
      <c r="T30" s="18" t="s">
        <v>152</v>
      </c>
    </row>
    <row r="31" spans="3:20" x14ac:dyDescent="0.3">
      <c r="T31" s="18" t="s">
        <v>153</v>
      </c>
    </row>
    <row r="32" spans="3:20" x14ac:dyDescent="0.3">
      <c r="T32" s="18" t="s">
        <v>154</v>
      </c>
    </row>
    <row r="33" spans="3:20" ht="15" x14ac:dyDescent="0.3">
      <c r="C33" s="57"/>
      <c r="G33" s="57"/>
      <c r="T33" s="18" t="s">
        <v>155</v>
      </c>
    </row>
    <row r="34" spans="3:20" ht="15" x14ac:dyDescent="0.3">
      <c r="C34" s="57"/>
      <c r="G34" s="57"/>
      <c r="T34" s="18" t="s">
        <v>156</v>
      </c>
    </row>
    <row r="35" spans="3:20" ht="15" x14ac:dyDescent="0.3">
      <c r="C35" s="57"/>
      <c r="G35" s="57"/>
      <c r="T35" s="18" t="s">
        <v>157</v>
      </c>
    </row>
    <row r="36" spans="3:20" ht="15" x14ac:dyDescent="0.3">
      <c r="C36" s="57"/>
      <c r="G36" s="57"/>
      <c r="T36" s="18" t="s">
        <v>122</v>
      </c>
    </row>
    <row r="37" spans="3:20" ht="15" x14ac:dyDescent="0.3">
      <c r="C37" s="57"/>
      <c r="G37" s="57"/>
      <c r="T37" s="18" t="s">
        <v>158</v>
      </c>
    </row>
    <row r="38" spans="3:20" ht="15" x14ac:dyDescent="0.3">
      <c r="C38" s="57"/>
      <c r="G38" s="57"/>
      <c r="T38" s="18" t="s">
        <v>159</v>
      </c>
    </row>
    <row r="39" spans="3:20" ht="15" x14ac:dyDescent="0.3">
      <c r="C39" s="57"/>
      <c r="G39" s="57"/>
      <c r="T39" s="18" t="s">
        <v>160</v>
      </c>
    </row>
    <row r="40" spans="3:20" ht="15" x14ac:dyDescent="0.3">
      <c r="C40" s="57"/>
      <c r="G40" s="57"/>
      <c r="T40" s="18" t="s">
        <v>161</v>
      </c>
    </row>
    <row r="41" spans="3:20" ht="15" x14ac:dyDescent="0.3">
      <c r="C41" s="57"/>
      <c r="G41" s="57"/>
      <c r="T41" s="18" t="s">
        <v>162</v>
      </c>
    </row>
    <row r="42" spans="3:20" ht="15" x14ac:dyDescent="0.3">
      <c r="G42" s="57"/>
      <c r="T42" s="18" t="s">
        <v>163</v>
      </c>
    </row>
    <row r="43" spans="3:20" ht="15" x14ac:dyDescent="0.3">
      <c r="G43" s="57"/>
      <c r="T43" s="18" t="s">
        <v>164</v>
      </c>
    </row>
    <row r="44" spans="3:20" ht="15" x14ac:dyDescent="0.3">
      <c r="G44" s="57"/>
    </row>
    <row r="45" spans="3:20" ht="15" x14ac:dyDescent="0.3">
      <c r="G45" s="57"/>
    </row>
    <row r="48" spans="3:20" ht="15" x14ac:dyDescent="0.3">
      <c r="C48" s="57"/>
    </row>
    <row r="49" spans="3:3" ht="15" x14ac:dyDescent="0.3">
      <c r="C49" s="57"/>
    </row>
    <row r="50" spans="3:3" ht="15" x14ac:dyDescent="0.3">
      <c r="C50" s="57"/>
    </row>
    <row r="51" spans="3:3" ht="15" x14ac:dyDescent="0.3">
      <c r="C51" s="57"/>
    </row>
  </sheetData>
  <mergeCells count="6">
    <mergeCell ref="I14:I15"/>
    <mergeCell ref="J14:K15"/>
    <mergeCell ref="D28:G28"/>
    <mergeCell ref="D30:G30"/>
    <mergeCell ref="I11:I12"/>
    <mergeCell ref="K11:K12"/>
  </mergeCells>
  <conditionalFormatting sqref="J14">
    <cfRule type="cellIs" dxfId="2" priority="1" operator="equal">
      <formula>"BAJO"</formula>
    </cfRule>
    <cfRule type="cellIs" dxfId="1" priority="2" operator="equal">
      <formula>"MODERADO"</formula>
    </cfRule>
    <cfRule type="cellIs" dxfId="0" priority="3" operator="equal">
      <formula>"ALTO"</formula>
    </cfRule>
  </conditionalFormatting>
  <dataValidations count="9">
    <dataValidation type="list" allowBlank="1" showInputMessage="1" showErrorMessage="1" errorTitle="Error" error="No se acepta este valor.." sqref="D18" xr:uid="{69013ECD-6B86-421F-914C-6B729BDAEEC7}">
      <formula1>$R$8:$R$10</formula1>
    </dataValidation>
    <dataValidation type="list" allowBlank="1" showInputMessage="1" showErrorMessage="1" errorTitle="Error" error="No se acepta este valor.." sqref="G16" xr:uid="{00B62474-F7E7-40B2-87F5-88F961BF9210}">
      <formula1>$S$8:$S$10</formula1>
    </dataValidation>
    <dataValidation type="list" allowBlank="1" showInputMessage="1" showErrorMessage="1" errorTitle="Error" error="No se acepta este valor.." sqref="G12" xr:uid="{248E368C-F7F5-4961-84EE-482443754771}">
      <formula1>$T$8:$T$200</formula1>
    </dataValidation>
    <dataValidation type="list" allowBlank="1" showInputMessage="1" showErrorMessage="1" errorTitle="Error" error="No se acepta este valor.." sqref="D12" xr:uid="{FB45EBBC-B032-4BFC-AF3A-B5812C7C9A5C}">
      <formula1>$U$8:$U$9</formula1>
    </dataValidation>
    <dataValidation type="whole" allowBlank="1" showInputMessage="1" showErrorMessage="1" errorTitle="Error" error="No se acepta valores menoes a 16." sqref="D14" xr:uid="{681B0784-E150-488A-B03E-1A99C4573C94}">
      <formula1>16</formula1>
      <formula2>100</formula2>
    </dataValidation>
    <dataValidation type="whole" operator="greaterThan" allowBlank="1" showInputMessage="1" showErrorMessage="1" sqref="G20" xr:uid="{97789FBF-6780-4DAB-AEC6-958A9E2A5B6F}">
      <formula1>0</formula1>
    </dataValidation>
    <dataValidation type="list" allowBlank="1" showInputMessage="1" showErrorMessage="1" errorTitle="Error" error="No se acepta este valor.." sqref="G22" xr:uid="{03598922-8838-4B86-A089-8DA5FCB0264B}">
      <formula1>$V$8:$V$12</formula1>
    </dataValidation>
    <dataValidation type="list" allowBlank="1" showInputMessage="1" showErrorMessage="1" errorTitle="Error" error="No se acepta este valor.." sqref="G14" xr:uid="{F2B09AE6-D320-4ED5-9802-39FBE817975D}">
      <formula1>$W$8:$W$100</formula1>
    </dataValidation>
    <dataValidation type="list" allowBlank="1" showInputMessage="1" showErrorMessage="1" errorTitle="Error" error="Este valor no coincide con la lista." sqref="G18" xr:uid="{11F208BF-A24F-48B1-B9CB-64A65FD9A426}">
      <formula1>$Y$8:$Y$9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O73"/>
  <sheetViews>
    <sheetView zoomScaleNormal="100" workbookViewId="0">
      <selection activeCell="J6" sqref="J6"/>
    </sheetView>
  </sheetViews>
  <sheetFormatPr baseColWidth="10" defaultColWidth="11.54296875" defaultRowHeight="14.5" x14ac:dyDescent="0.35"/>
  <cols>
    <col min="1" max="1" width="2" style="3" customWidth="1"/>
    <col min="2" max="2" width="11.54296875" style="3"/>
    <col min="3" max="3" width="15" style="4" customWidth="1"/>
    <col min="4" max="4" width="15.453125" style="4" customWidth="1"/>
    <col min="5" max="5" width="16.453125" style="3" customWidth="1"/>
    <col min="6" max="6" width="14.36328125" style="4" customWidth="1"/>
    <col min="7" max="8" width="11.54296875" style="4"/>
    <col min="9" max="9" width="15.08984375" style="4" customWidth="1"/>
    <col min="10" max="11" width="13.453125" style="3" customWidth="1"/>
    <col min="12" max="12" width="3.54296875" style="3" customWidth="1"/>
    <col min="13" max="14" width="11.54296875" style="3"/>
    <col min="15" max="15" width="13" style="3" customWidth="1"/>
    <col min="16" max="16" width="15" style="3" customWidth="1"/>
    <col min="17" max="16384" width="11.54296875" style="3"/>
  </cols>
  <sheetData>
    <row r="1" spans="2:15" x14ac:dyDescent="0.35">
      <c r="B1" s="114" t="s">
        <v>36</v>
      </c>
      <c r="C1" s="114"/>
      <c r="D1" t="s">
        <v>37</v>
      </c>
    </row>
    <row r="2" spans="2:15" x14ac:dyDescent="0.35">
      <c r="B2" s="105" t="s">
        <v>38</v>
      </c>
      <c r="C2" s="3"/>
      <c r="D2" t="s">
        <v>39</v>
      </c>
    </row>
    <row r="3" spans="2:15" x14ac:dyDescent="0.35">
      <c r="B3" s="114" t="s">
        <v>40</v>
      </c>
      <c r="C3" s="114"/>
      <c r="D3" s="81">
        <f>COTIZACIÓN!G22</f>
        <v>4</v>
      </c>
      <c r="E3" s="5"/>
    </row>
    <row r="4" spans="2:15" ht="15" thickBot="1" x14ac:dyDescent="0.4"/>
    <row r="5" spans="2:15" ht="73.5" thickTop="1" thickBot="1" x14ac:dyDescent="0.4">
      <c r="B5" s="82" t="s">
        <v>41</v>
      </c>
      <c r="C5" s="83" t="s">
        <v>195</v>
      </c>
      <c r="D5" s="83" t="s">
        <v>196</v>
      </c>
      <c r="E5" s="84" t="s">
        <v>43</v>
      </c>
      <c r="F5" s="84" t="s">
        <v>44</v>
      </c>
      <c r="G5" s="84" t="s">
        <v>45</v>
      </c>
      <c r="H5" s="85" t="s">
        <v>14</v>
      </c>
      <c r="J5" s="7" t="s">
        <v>46</v>
      </c>
      <c r="K5" s="8">
        <f>AVERAGE(J14:J61)</f>
        <v>101.76804068794077</v>
      </c>
    </row>
    <row r="6" spans="2:15" ht="21.65" customHeight="1" x14ac:dyDescent="0.35">
      <c r="B6" s="86" t="s">
        <v>47</v>
      </c>
      <c r="C6" s="87">
        <f>PARAMETRIZACIÓN!C27</f>
        <v>0.1</v>
      </c>
      <c r="D6" s="88">
        <f>PARAMETRIZACIÓN!C29</f>
        <v>0.15</v>
      </c>
      <c r="E6" s="89">
        <f>+COTIZACIÓN!G20</f>
        <v>40000</v>
      </c>
      <c r="F6" s="90">
        <f>IF(COTIZACIÓN!G18="NUEVO",'MODELO MENSUALIZADO'!E6*'MODELO MENSUALIZADO'!C6,'MODELO MENSUALIZADO'!E6*'MODELO MENSUALIZADO'!D6)</f>
        <v>6000</v>
      </c>
      <c r="G6" s="90">
        <f>+F6/12</f>
        <v>500</v>
      </c>
      <c r="H6" s="91">
        <f>+COTIZACIÓN!I11</f>
        <v>3.5555555555555562E-2</v>
      </c>
      <c r="I6" s="6"/>
    </row>
    <row r="7" spans="2:15" ht="21.65" customHeight="1" x14ac:dyDescent="0.35">
      <c r="B7" s="86" t="s">
        <v>48</v>
      </c>
      <c r="C7" s="87">
        <f>PARAMETRIZACIÓN!C28</f>
        <v>0.15</v>
      </c>
      <c r="D7" s="88">
        <f>PARAMETRIZACIÓN!C30</f>
        <v>0.18</v>
      </c>
      <c r="E7" s="90">
        <f>+E6-F6</f>
        <v>34000</v>
      </c>
      <c r="F7" s="90">
        <f>IF(COTIZACIÓN!G19="NUEVO",'MODELO MENSUALIZADO'!E7*'MODELO MENSUALIZADO'!C7,'MODELO MENSUALIZADO'!E7*'MODELO MENSUALIZADO'!D7)</f>
        <v>6120</v>
      </c>
      <c r="G7" s="90">
        <f>+F7/12</f>
        <v>510</v>
      </c>
      <c r="H7" s="91">
        <v>3.5200000000000002E-2</v>
      </c>
      <c r="I7" s="6"/>
    </row>
    <row r="8" spans="2:15" ht="21.65" customHeight="1" x14ac:dyDescent="0.35">
      <c r="B8" s="86" t="s">
        <v>49</v>
      </c>
      <c r="C8" s="87">
        <f>PARAMETRIZACIÓN!C28</f>
        <v>0.15</v>
      </c>
      <c r="D8" s="88">
        <f>PARAMETRIZACIÓN!C30</f>
        <v>0.18</v>
      </c>
      <c r="E8" s="90">
        <f>+E7-F7</f>
        <v>27880</v>
      </c>
      <c r="F8" s="90">
        <f>IF(COTIZACIÓN!G20="NUEVO",'MODELO MENSUALIZADO'!E8*'MODELO MENSUALIZADO'!C8,'MODELO MENSUALIZADO'!E8*'MODELO MENSUALIZADO'!D8)</f>
        <v>5018.3999999999996</v>
      </c>
      <c r="G8" s="90">
        <f>+F8/12</f>
        <v>418.2</v>
      </c>
      <c r="H8" s="91">
        <v>3.5200000000000002E-2</v>
      </c>
      <c r="I8" s="6"/>
    </row>
    <row r="9" spans="2:15" ht="21.65" customHeight="1" x14ac:dyDescent="0.35">
      <c r="B9" s="86" t="s">
        <v>50</v>
      </c>
      <c r="C9" s="87">
        <f>PARAMETRIZACIÓN!C28</f>
        <v>0.15</v>
      </c>
      <c r="D9" s="88">
        <f>PARAMETRIZACIÓN!C30</f>
        <v>0.18</v>
      </c>
      <c r="E9" s="90">
        <f>+E8-F8</f>
        <v>22861.599999999999</v>
      </c>
      <c r="F9" s="90">
        <f>IF(COTIZACIÓN!G21="NUEVO",'MODELO MENSUALIZADO'!E9*'MODELO MENSUALIZADO'!C9,'MODELO MENSUALIZADO'!E9*'MODELO MENSUALIZADO'!D9)</f>
        <v>4115.0879999999997</v>
      </c>
      <c r="G9" s="90">
        <f>+F9/12</f>
        <v>342.92399999999998</v>
      </c>
      <c r="H9" s="91">
        <v>3.5200000000000002E-2</v>
      </c>
    </row>
    <row r="10" spans="2:15" ht="21.65" customHeight="1" thickBot="1" x14ac:dyDescent="0.4">
      <c r="B10" s="92" t="s">
        <v>193</v>
      </c>
      <c r="C10" s="93">
        <f>PARAMETRIZACIÓN!C28</f>
        <v>0.15</v>
      </c>
      <c r="D10" s="94">
        <f>PARAMETRIZACIÓN!C30</f>
        <v>0.18</v>
      </c>
      <c r="E10" s="95">
        <f>+E9-F9</f>
        <v>18746.511999999999</v>
      </c>
      <c r="F10" s="95">
        <f>IF(COTIZACIÓN!G22="NUEVO",'MODELO MENSUALIZADO'!E10*'MODELO MENSUALIZADO'!C10,'MODELO MENSUALIZADO'!E10*'MODELO MENSUALIZADO'!D10)</f>
        <v>3374.3721599999994</v>
      </c>
      <c r="G10" s="95">
        <f>+F10/12</f>
        <v>281.19767999999993</v>
      </c>
      <c r="H10" s="96">
        <v>3.5200000000000002E-2</v>
      </c>
    </row>
    <row r="11" spans="2:15" ht="21.65" customHeight="1" thickTop="1" x14ac:dyDescent="0.35">
      <c r="C11" s="9"/>
      <c r="D11" s="9"/>
      <c r="E11" s="9"/>
      <c r="F11" s="3"/>
      <c r="G11" s="3"/>
    </row>
    <row r="12" spans="2:15" x14ac:dyDescent="0.3">
      <c r="D12" s="3"/>
      <c r="E12" s="98">
        <v>3.5000000000000003E-2</v>
      </c>
      <c r="F12" s="99">
        <v>5.0000000000000001E-3</v>
      </c>
      <c r="G12" s="100">
        <v>0.5</v>
      </c>
      <c r="H12" s="100"/>
      <c r="I12" s="97">
        <v>0.15</v>
      </c>
      <c r="M12" s="111" t="s">
        <v>51</v>
      </c>
      <c r="N12" s="112"/>
      <c r="O12" s="113"/>
    </row>
    <row r="13" spans="2:15" ht="49.5" customHeight="1" x14ac:dyDescent="0.35">
      <c r="B13" s="10" t="s">
        <v>52</v>
      </c>
      <c r="C13" s="12" t="s">
        <v>35</v>
      </c>
      <c r="D13" s="12" t="s">
        <v>53</v>
      </c>
      <c r="E13" s="12" t="s">
        <v>54</v>
      </c>
      <c r="F13" s="12" t="s">
        <v>55</v>
      </c>
      <c r="G13" s="12" t="s">
        <v>56</v>
      </c>
      <c r="H13" s="12" t="s">
        <v>57</v>
      </c>
      <c r="I13" s="12" t="s">
        <v>58</v>
      </c>
      <c r="J13" s="12" t="s">
        <v>59</v>
      </c>
      <c r="M13" s="12" t="s">
        <v>60</v>
      </c>
      <c r="N13" s="11" t="s">
        <v>61</v>
      </c>
      <c r="O13" s="12" t="s">
        <v>62</v>
      </c>
    </row>
    <row r="14" spans="2:15" x14ac:dyDescent="0.35">
      <c r="B14" s="13">
        <v>1</v>
      </c>
      <c r="C14" s="14">
        <f>+E6</f>
        <v>40000</v>
      </c>
      <c r="D14" s="15">
        <f t="shared" ref="D14:D25" si="0">+C14*($H$6/12)</f>
        <v>118.51851851851855</v>
      </c>
      <c r="E14" s="14">
        <f t="shared" ref="E14:E25" si="1">+D14*$E$12</f>
        <v>4.1481481481481497</v>
      </c>
      <c r="F14" s="14">
        <f t="shared" ref="F14:F25" si="2">+D14*$F$12</f>
        <v>0.59259259259259278</v>
      </c>
      <c r="G14" s="14">
        <f t="shared" ref="G14:G25" si="3">+$G$12</f>
        <v>0.5</v>
      </c>
      <c r="H14" s="14">
        <f>+SUM(D14:G14)</f>
        <v>123.7592592592593</v>
      </c>
      <c r="I14" s="101">
        <f t="shared" ref="I14:I25" si="4">+H14*$I$12</f>
        <v>18.563888888888894</v>
      </c>
      <c r="J14" s="16">
        <f>+H14+I14</f>
        <v>142.32314814814819</v>
      </c>
      <c r="M14" s="14">
        <f t="shared" ref="M14:M45" si="5">$K$5</f>
        <v>101.76804068794077</v>
      </c>
      <c r="N14" s="14">
        <f>M14-J14</f>
        <v>-40.555107460207424</v>
      </c>
      <c r="O14" s="14">
        <f>+N14</f>
        <v>-40.555107460207424</v>
      </c>
    </row>
    <row r="15" spans="2:15" x14ac:dyDescent="0.35">
      <c r="B15" s="13">
        <v>2</v>
      </c>
      <c r="C15" s="14">
        <f t="shared" ref="C15:C25" si="6">+C14-G$6</f>
        <v>39500</v>
      </c>
      <c r="D15" s="15">
        <f t="shared" si="0"/>
        <v>117.03703703703707</v>
      </c>
      <c r="E15" s="14">
        <f t="shared" si="1"/>
        <v>4.0962962962962974</v>
      </c>
      <c r="F15" s="14">
        <f t="shared" si="2"/>
        <v>0.58518518518518536</v>
      </c>
      <c r="G15" s="14">
        <f t="shared" si="3"/>
        <v>0.5</v>
      </c>
      <c r="H15" s="14">
        <f t="shared" ref="H15:H25" si="7">+SUM(D15:G15)</f>
        <v>122.21851851851855</v>
      </c>
      <c r="I15" s="101">
        <f t="shared" si="4"/>
        <v>18.332777777777782</v>
      </c>
      <c r="J15" s="16">
        <f t="shared" ref="J15:J25" si="8">+H15+I15</f>
        <v>140.55129629629633</v>
      </c>
      <c r="M15" s="14">
        <f t="shared" si="5"/>
        <v>101.76804068794077</v>
      </c>
      <c r="N15" s="14">
        <f t="shared" ref="N15:N73" si="9">M15-J15</f>
        <v>-38.78325560835556</v>
      </c>
      <c r="O15" s="14">
        <f>+O14+N15</f>
        <v>-79.338363068562984</v>
      </c>
    </row>
    <row r="16" spans="2:15" x14ac:dyDescent="0.35">
      <c r="B16" s="13">
        <v>3</v>
      </c>
      <c r="C16" s="14">
        <f t="shared" si="6"/>
        <v>39000</v>
      </c>
      <c r="D16" s="15">
        <f t="shared" si="0"/>
        <v>115.55555555555559</v>
      </c>
      <c r="E16" s="14">
        <f t="shared" si="1"/>
        <v>4.0444444444444461</v>
      </c>
      <c r="F16" s="14">
        <f t="shared" si="2"/>
        <v>0.57777777777777795</v>
      </c>
      <c r="G16" s="14">
        <f t="shared" si="3"/>
        <v>0.5</v>
      </c>
      <c r="H16" s="14">
        <f t="shared" si="7"/>
        <v>120.67777777777782</v>
      </c>
      <c r="I16" s="101">
        <f t="shared" si="4"/>
        <v>18.101666666666674</v>
      </c>
      <c r="J16" s="16">
        <f t="shared" si="8"/>
        <v>138.77944444444449</v>
      </c>
      <c r="M16" s="14">
        <f t="shared" si="5"/>
        <v>101.76804068794077</v>
      </c>
      <c r="N16" s="14">
        <f t="shared" si="9"/>
        <v>-37.011403756503725</v>
      </c>
      <c r="O16" s="14">
        <f>+O15+N16</f>
        <v>-116.34976682506671</v>
      </c>
    </row>
    <row r="17" spans="2:15" x14ac:dyDescent="0.35">
      <c r="B17" s="13">
        <v>4</v>
      </c>
      <c r="C17" s="14">
        <f t="shared" si="6"/>
        <v>38500</v>
      </c>
      <c r="D17" s="15">
        <f t="shared" si="0"/>
        <v>114.0740740740741</v>
      </c>
      <c r="E17" s="14">
        <f t="shared" si="1"/>
        <v>3.9925925925925942</v>
      </c>
      <c r="F17" s="14">
        <f t="shared" si="2"/>
        <v>0.57037037037037053</v>
      </c>
      <c r="G17" s="14">
        <f t="shared" si="3"/>
        <v>0.5</v>
      </c>
      <c r="H17" s="14">
        <f t="shared" si="7"/>
        <v>119.13703703703708</v>
      </c>
      <c r="I17" s="101">
        <f t="shared" si="4"/>
        <v>17.870555555555562</v>
      </c>
      <c r="J17" s="16">
        <f t="shared" si="8"/>
        <v>137.00759259259263</v>
      </c>
      <c r="M17" s="14">
        <f t="shared" si="5"/>
        <v>101.76804068794077</v>
      </c>
      <c r="N17" s="14">
        <f t="shared" si="9"/>
        <v>-35.239551904651861</v>
      </c>
      <c r="O17" s="14">
        <f>+O16+N17</f>
        <v>-151.58931872971857</v>
      </c>
    </row>
    <row r="18" spans="2:15" x14ac:dyDescent="0.35">
      <c r="B18" s="13">
        <v>5</v>
      </c>
      <c r="C18" s="14">
        <f t="shared" si="6"/>
        <v>38000</v>
      </c>
      <c r="D18" s="15">
        <f t="shared" si="0"/>
        <v>112.59259259259262</v>
      </c>
      <c r="E18" s="14">
        <f t="shared" si="1"/>
        <v>3.940740740740742</v>
      </c>
      <c r="F18" s="14">
        <f t="shared" si="2"/>
        <v>0.56296296296296311</v>
      </c>
      <c r="G18" s="14">
        <f t="shared" si="3"/>
        <v>0.5</v>
      </c>
      <c r="H18" s="14">
        <f t="shared" si="7"/>
        <v>117.59629629629632</v>
      </c>
      <c r="I18" s="101">
        <f t="shared" si="4"/>
        <v>17.639444444444447</v>
      </c>
      <c r="J18" s="16">
        <f t="shared" si="8"/>
        <v>135.23574074074077</v>
      </c>
      <c r="M18" s="14">
        <f t="shared" si="5"/>
        <v>101.76804068794077</v>
      </c>
      <c r="N18" s="14">
        <f t="shared" si="9"/>
        <v>-33.467700052799998</v>
      </c>
      <c r="O18" s="14">
        <f>+O17+N18</f>
        <v>-185.05701878251858</v>
      </c>
    </row>
    <row r="19" spans="2:15" x14ac:dyDescent="0.35">
      <c r="B19" s="13">
        <v>6</v>
      </c>
      <c r="C19" s="14">
        <f t="shared" si="6"/>
        <v>37500</v>
      </c>
      <c r="D19" s="15">
        <f t="shared" si="0"/>
        <v>111.11111111111114</v>
      </c>
      <c r="E19" s="14">
        <f t="shared" si="1"/>
        <v>3.8888888888888902</v>
      </c>
      <c r="F19" s="14">
        <f t="shared" si="2"/>
        <v>0.55555555555555569</v>
      </c>
      <c r="G19" s="14">
        <f t="shared" si="3"/>
        <v>0.5</v>
      </c>
      <c r="H19" s="14">
        <f t="shared" si="7"/>
        <v>116.05555555555559</v>
      </c>
      <c r="I19" s="101">
        <f t="shared" si="4"/>
        <v>17.408333333333339</v>
      </c>
      <c r="J19" s="16">
        <f t="shared" si="8"/>
        <v>133.46388888888893</v>
      </c>
      <c r="M19" s="14">
        <f t="shared" si="5"/>
        <v>101.76804068794077</v>
      </c>
      <c r="N19" s="14">
        <f t="shared" si="9"/>
        <v>-31.695848200948163</v>
      </c>
      <c r="O19" s="14">
        <f t="shared" ref="O19:O25" si="10">+O18+N19</f>
        <v>-216.75286698346673</v>
      </c>
    </row>
    <row r="20" spans="2:15" x14ac:dyDescent="0.35">
      <c r="B20" s="13">
        <v>7</v>
      </c>
      <c r="C20" s="14">
        <f t="shared" si="6"/>
        <v>37000</v>
      </c>
      <c r="D20" s="15">
        <f t="shared" si="0"/>
        <v>109.62962962962966</v>
      </c>
      <c r="E20" s="14">
        <f t="shared" si="1"/>
        <v>3.8370370370370384</v>
      </c>
      <c r="F20" s="14">
        <f t="shared" si="2"/>
        <v>0.54814814814814827</v>
      </c>
      <c r="G20" s="14">
        <f t="shared" si="3"/>
        <v>0.5</v>
      </c>
      <c r="H20" s="14">
        <f t="shared" si="7"/>
        <v>114.51481481481484</v>
      </c>
      <c r="I20" s="101">
        <f t="shared" si="4"/>
        <v>17.177222222222227</v>
      </c>
      <c r="J20" s="16">
        <f t="shared" si="8"/>
        <v>131.69203703703707</v>
      </c>
      <c r="M20" s="14">
        <f t="shared" si="5"/>
        <v>101.76804068794077</v>
      </c>
      <c r="N20" s="14">
        <f t="shared" si="9"/>
        <v>-29.923996349096299</v>
      </c>
      <c r="O20" s="14">
        <f t="shared" si="10"/>
        <v>-246.67686333256302</v>
      </c>
    </row>
    <row r="21" spans="2:15" x14ac:dyDescent="0.35">
      <c r="B21" s="13">
        <v>8</v>
      </c>
      <c r="C21" s="14">
        <f t="shared" si="6"/>
        <v>36500</v>
      </c>
      <c r="D21" s="15">
        <f t="shared" si="0"/>
        <v>108.14814814814818</v>
      </c>
      <c r="E21" s="14">
        <f t="shared" si="1"/>
        <v>3.7851851851851865</v>
      </c>
      <c r="F21" s="14">
        <f t="shared" si="2"/>
        <v>0.54074074074074097</v>
      </c>
      <c r="G21" s="14">
        <f t="shared" si="3"/>
        <v>0.5</v>
      </c>
      <c r="H21" s="14">
        <f t="shared" si="7"/>
        <v>112.97407407407411</v>
      </c>
      <c r="I21" s="101">
        <f t="shared" si="4"/>
        <v>16.946111111111115</v>
      </c>
      <c r="J21" s="16">
        <f t="shared" si="8"/>
        <v>129.92018518518523</v>
      </c>
      <c r="M21" s="14">
        <f t="shared" si="5"/>
        <v>101.76804068794077</v>
      </c>
      <c r="N21" s="14">
        <f t="shared" si="9"/>
        <v>-28.152144497244464</v>
      </c>
      <c r="O21" s="14">
        <f t="shared" si="10"/>
        <v>-274.82900782980749</v>
      </c>
    </row>
    <row r="22" spans="2:15" x14ac:dyDescent="0.35">
      <c r="B22" s="13">
        <v>9</v>
      </c>
      <c r="C22" s="14">
        <f t="shared" si="6"/>
        <v>36000</v>
      </c>
      <c r="D22" s="15">
        <f t="shared" si="0"/>
        <v>106.66666666666669</v>
      </c>
      <c r="E22" s="14">
        <f t="shared" si="1"/>
        <v>3.7333333333333343</v>
      </c>
      <c r="F22" s="14">
        <f t="shared" si="2"/>
        <v>0.53333333333333344</v>
      </c>
      <c r="G22" s="14">
        <f t="shared" si="3"/>
        <v>0.5</v>
      </c>
      <c r="H22" s="14">
        <f t="shared" si="7"/>
        <v>111.43333333333335</v>
      </c>
      <c r="I22" s="101">
        <f t="shared" si="4"/>
        <v>16.715000000000003</v>
      </c>
      <c r="J22" s="16">
        <f t="shared" si="8"/>
        <v>128.14833333333337</v>
      </c>
      <c r="M22" s="14">
        <f t="shared" si="5"/>
        <v>101.76804068794077</v>
      </c>
      <c r="N22" s="14">
        <f t="shared" si="9"/>
        <v>-26.380292645392601</v>
      </c>
      <c r="O22" s="14">
        <f t="shared" si="10"/>
        <v>-301.20930047520011</v>
      </c>
    </row>
    <row r="23" spans="2:15" x14ac:dyDescent="0.35">
      <c r="B23" s="13">
        <v>10</v>
      </c>
      <c r="C23" s="14">
        <f t="shared" si="6"/>
        <v>35500</v>
      </c>
      <c r="D23" s="15">
        <f t="shared" si="0"/>
        <v>105.1851851851852</v>
      </c>
      <c r="E23" s="14">
        <f t="shared" si="1"/>
        <v>3.6814814814814825</v>
      </c>
      <c r="F23" s="14">
        <f t="shared" si="2"/>
        <v>0.52592592592592602</v>
      </c>
      <c r="G23" s="14">
        <f t="shared" si="3"/>
        <v>0.5</v>
      </c>
      <c r="H23" s="14">
        <f t="shared" si="7"/>
        <v>109.89259259259262</v>
      </c>
      <c r="I23" s="101">
        <f t="shared" si="4"/>
        <v>16.483888888888892</v>
      </c>
      <c r="J23" s="16">
        <f t="shared" si="8"/>
        <v>126.37648148148151</v>
      </c>
      <c r="M23" s="14">
        <f t="shared" si="5"/>
        <v>101.76804068794077</v>
      </c>
      <c r="N23" s="14">
        <f t="shared" si="9"/>
        <v>-24.608440793540737</v>
      </c>
      <c r="O23" s="14">
        <f t="shared" si="10"/>
        <v>-325.81774126874086</v>
      </c>
    </row>
    <row r="24" spans="2:15" x14ac:dyDescent="0.35">
      <c r="B24" s="13">
        <v>11</v>
      </c>
      <c r="C24" s="14">
        <f t="shared" si="6"/>
        <v>35000</v>
      </c>
      <c r="D24" s="15">
        <f t="shared" si="0"/>
        <v>103.70370370370372</v>
      </c>
      <c r="E24" s="14">
        <f t="shared" si="1"/>
        <v>3.6296296296296306</v>
      </c>
      <c r="F24" s="14">
        <f t="shared" si="2"/>
        <v>0.5185185185185186</v>
      </c>
      <c r="G24" s="14">
        <f t="shared" si="3"/>
        <v>0.5</v>
      </c>
      <c r="H24" s="14">
        <f t="shared" si="7"/>
        <v>108.35185185185188</v>
      </c>
      <c r="I24" s="101">
        <f t="shared" si="4"/>
        <v>16.25277777777778</v>
      </c>
      <c r="J24" s="16">
        <f t="shared" si="8"/>
        <v>124.60462962962966</v>
      </c>
      <c r="M24" s="14">
        <f t="shared" si="5"/>
        <v>101.76804068794077</v>
      </c>
      <c r="N24" s="14">
        <f t="shared" si="9"/>
        <v>-22.836588941688888</v>
      </c>
      <c r="O24" s="14">
        <f t="shared" si="10"/>
        <v>-348.65433021042975</v>
      </c>
    </row>
    <row r="25" spans="2:15" x14ac:dyDescent="0.35">
      <c r="B25" s="13">
        <v>12</v>
      </c>
      <c r="C25" s="14">
        <f t="shared" si="6"/>
        <v>34500</v>
      </c>
      <c r="D25" s="15">
        <f t="shared" si="0"/>
        <v>102.22222222222224</v>
      </c>
      <c r="E25" s="14">
        <f t="shared" si="1"/>
        <v>3.5777777777777788</v>
      </c>
      <c r="F25" s="14">
        <f t="shared" si="2"/>
        <v>0.51111111111111118</v>
      </c>
      <c r="G25" s="14">
        <f t="shared" si="3"/>
        <v>0.5</v>
      </c>
      <c r="H25" s="14">
        <f t="shared" si="7"/>
        <v>106.81111111111113</v>
      </c>
      <c r="I25" s="101">
        <f t="shared" si="4"/>
        <v>16.021666666666668</v>
      </c>
      <c r="J25" s="16">
        <f t="shared" si="8"/>
        <v>122.83277777777781</v>
      </c>
      <c r="M25" s="14">
        <f t="shared" si="5"/>
        <v>101.76804068794077</v>
      </c>
      <c r="N25" s="14">
        <f t="shared" si="9"/>
        <v>-21.064737089837038</v>
      </c>
      <c r="O25" s="14">
        <f t="shared" si="10"/>
        <v>-369.71906730026677</v>
      </c>
    </row>
    <row r="26" spans="2:15" x14ac:dyDescent="0.35">
      <c r="B26" s="13">
        <f>IF($D$3&gt;=2,B25+1,"")</f>
        <v>13</v>
      </c>
      <c r="C26" s="14">
        <f>IF($D$3&gt;=2,E7,"")</f>
        <v>34000</v>
      </c>
      <c r="D26" s="15">
        <f t="shared" ref="D26:D37" si="11">IF($D$3&gt;=2,C26*($H$7/12),"")</f>
        <v>99.733333333333334</v>
      </c>
      <c r="E26" s="14">
        <f t="shared" ref="E26:E37" si="12">IF($D$3&gt;=2,D26*$E$12,"")</f>
        <v>3.4906666666666673</v>
      </c>
      <c r="F26" s="14">
        <f t="shared" ref="F26:F37" si="13">IF($D$3&gt;=2,D26*$F$12,"")</f>
        <v>0.4986666666666667</v>
      </c>
      <c r="G26" s="14">
        <f t="shared" ref="G26:G37" si="14">IF($D$3&gt;=2,$G$12,"")</f>
        <v>0.5</v>
      </c>
      <c r="H26" s="14">
        <f>IF($D$3&gt;=2,SUM(D26:G26),"")</f>
        <v>104.22266666666667</v>
      </c>
      <c r="I26" s="101">
        <f t="shared" ref="I26:I37" si="15">IF($D$3&gt;=2,H26*$I$12,"")</f>
        <v>15.6334</v>
      </c>
      <c r="J26" s="16">
        <f>IF($D$3&gt;=2,H26+I26,"")</f>
        <v>119.85606666666666</v>
      </c>
      <c r="M26" s="14">
        <f t="shared" si="5"/>
        <v>101.76804068794077</v>
      </c>
      <c r="N26" s="14">
        <f t="shared" si="9"/>
        <v>-18.088025978725895</v>
      </c>
      <c r="O26" s="14">
        <f>IF($D$3&gt;=2,O25+N26,"")</f>
        <v>-387.80709327899268</v>
      </c>
    </row>
    <row r="27" spans="2:15" x14ac:dyDescent="0.35">
      <c r="B27" s="13">
        <f t="shared" ref="B27:B37" si="16">IF($D$3&gt;=2,B26+1,"")</f>
        <v>14</v>
      </c>
      <c r="C27" s="14">
        <f t="shared" ref="C27:C37" si="17">IF($D$3&gt;=2,C26-G$7,"")</f>
        <v>33490</v>
      </c>
      <c r="D27" s="15">
        <f t="shared" si="11"/>
        <v>98.237333333333339</v>
      </c>
      <c r="E27" s="14">
        <f t="shared" si="12"/>
        <v>3.4383066666666671</v>
      </c>
      <c r="F27" s="14">
        <f t="shared" si="13"/>
        <v>0.49118666666666672</v>
      </c>
      <c r="G27" s="14">
        <f t="shared" si="14"/>
        <v>0.5</v>
      </c>
      <c r="H27" s="14">
        <f t="shared" ref="H27:H37" si="18">IF($D$3&gt;=2,SUM(D27:G27),"")</f>
        <v>102.66682666666667</v>
      </c>
      <c r="I27" s="101">
        <f t="shared" si="15"/>
        <v>15.400023999999998</v>
      </c>
      <c r="J27" s="16">
        <f t="shared" ref="J27:J37" si="19">IF($D$3&gt;=2,H27+I27,"")</f>
        <v>118.06685066666667</v>
      </c>
      <c r="M27" s="14">
        <f t="shared" si="5"/>
        <v>101.76804068794077</v>
      </c>
      <c r="N27" s="14">
        <f t="shared" si="9"/>
        <v>-16.298809978725899</v>
      </c>
      <c r="O27" s="14">
        <f t="shared" ref="O27:O37" si="20">IF($D$3&gt;=2,O26+N27,"")</f>
        <v>-404.10590325771858</v>
      </c>
    </row>
    <row r="28" spans="2:15" x14ac:dyDescent="0.35">
      <c r="B28" s="13">
        <f t="shared" si="16"/>
        <v>15</v>
      </c>
      <c r="C28" s="14">
        <f t="shared" si="17"/>
        <v>32980</v>
      </c>
      <c r="D28" s="15">
        <f t="shared" si="11"/>
        <v>96.74133333333333</v>
      </c>
      <c r="E28" s="14">
        <f t="shared" si="12"/>
        <v>3.3859466666666669</v>
      </c>
      <c r="F28" s="14">
        <f t="shared" si="13"/>
        <v>0.48370666666666667</v>
      </c>
      <c r="G28" s="14">
        <f t="shared" si="14"/>
        <v>0.5</v>
      </c>
      <c r="H28" s="14">
        <f t="shared" si="18"/>
        <v>101.11098666666666</v>
      </c>
      <c r="I28" s="101">
        <f t="shared" si="15"/>
        <v>15.166647999999999</v>
      </c>
      <c r="J28" s="16">
        <f t="shared" si="19"/>
        <v>116.27763466666666</v>
      </c>
      <c r="M28" s="14">
        <f t="shared" si="5"/>
        <v>101.76804068794077</v>
      </c>
      <c r="N28" s="14">
        <f t="shared" si="9"/>
        <v>-14.509593978725889</v>
      </c>
      <c r="O28" s="14">
        <f t="shared" si="20"/>
        <v>-418.61549723644447</v>
      </c>
    </row>
    <row r="29" spans="2:15" x14ac:dyDescent="0.35">
      <c r="B29" s="13">
        <f t="shared" si="16"/>
        <v>16</v>
      </c>
      <c r="C29" s="14">
        <f t="shared" si="17"/>
        <v>32470</v>
      </c>
      <c r="D29" s="15">
        <f t="shared" si="11"/>
        <v>95.245333333333335</v>
      </c>
      <c r="E29" s="14">
        <f t="shared" si="12"/>
        <v>3.3335866666666671</v>
      </c>
      <c r="F29" s="14">
        <f t="shared" si="13"/>
        <v>0.47622666666666669</v>
      </c>
      <c r="G29" s="14">
        <f t="shared" si="14"/>
        <v>0.5</v>
      </c>
      <c r="H29" s="14">
        <f t="shared" si="18"/>
        <v>99.555146666666658</v>
      </c>
      <c r="I29" s="101">
        <f t="shared" si="15"/>
        <v>14.933271999999999</v>
      </c>
      <c r="J29" s="16">
        <f t="shared" si="19"/>
        <v>114.48841866666666</v>
      </c>
      <c r="M29" s="14">
        <f t="shared" si="5"/>
        <v>101.76804068794077</v>
      </c>
      <c r="N29" s="14">
        <f t="shared" si="9"/>
        <v>-12.720377978725892</v>
      </c>
      <c r="O29" s="14">
        <f t="shared" si="20"/>
        <v>-431.33587521517035</v>
      </c>
    </row>
    <row r="30" spans="2:15" x14ac:dyDescent="0.35">
      <c r="B30" s="13">
        <f t="shared" si="16"/>
        <v>17</v>
      </c>
      <c r="C30" s="14">
        <f t="shared" si="17"/>
        <v>31960</v>
      </c>
      <c r="D30" s="15">
        <f t="shared" si="11"/>
        <v>93.74933333333334</v>
      </c>
      <c r="E30" s="14">
        <f t="shared" si="12"/>
        <v>3.2812266666666674</v>
      </c>
      <c r="F30" s="14">
        <f t="shared" si="13"/>
        <v>0.4687466666666667</v>
      </c>
      <c r="G30" s="14">
        <f t="shared" si="14"/>
        <v>0.5</v>
      </c>
      <c r="H30" s="14">
        <f t="shared" si="18"/>
        <v>97.999306666666669</v>
      </c>
      <c r="I30" s="101">
        <f t="shared" si="15"/>
        <v>14.699895999999999</v>
      </c>
      <c r="J30" s="16">
        <f t="shared" si="19"/>
        <v>112.69920266666666</v>
      </c>
      <c r="M30" s="14">
        <f t="shared" si="5"/>
        <v>101.76804068794077</v>
      </c>
      <c r="N30" s="14">
        <f t="shared" si="9"/>
        <v>-10.931161978725896</v>
      </c>
      <c r="O30" s="14">
        <f t="shared" si="20"/>
        <v>-442.26703719389627</v>
      </c>
    </row>
    <row r="31" spans="2:15" x14ac:dyDescent="0.35">
      <c r="B31" s="13">
        <f t="shared" si="16"/>
        <v>18</v>
      </c>
      <c r="C31" s="14">
        <f t="shared" si="17"/>
        <v>31450</v>
      </c>
      <c r="D31" s="15">
        <f t="shared" si="11"/>
        <v>92.25333333333333</v>
      </c>
      <c r="E31" s="14">
        <f t="shared" si="12"/>
        <v>3.2288666666666668</v>
      </c>
      <c r="F31" s="14">
        <f t="shared" si="13"/>
        <v>0.46126666666666666</v>
      </c>
      <c r="G31" s="14">
        <f t="shared" si="14"/>
        <v>0.5</v>
      </c>
      <c r="H31" s="14">
        <f t="shared" si="18"/>
        <v>96.443466666666652</v>
      </c>
      <c r="I31" s="101">
        <f t="shared" si="15"/>
        <v>14.466519999999997</v>
      </c>
      <c r="J31" s="16">
        <f t="shared" si="19"/>
        <v>110.90998666666665</v>
      </c>
      <c r="M31" s="14">
        <f t="shared" si="5"/>
        <v>101.76804068794077</v>
      </c>
      <c r="N31" s="14">
        <f t="shared" si="9"/>
        <v>-9.1419459787258859</v>
      </c>
      <c r="O31" s="14">
        <f t="shared" si="20"/>
        <v>-451.40898317262213</v>
      </c>
    </row>
    <row r="32" spans="2:15" x14ac:dyDescent="0.35">
      <c r="B32" s="13">
        <f t="shared" si="16"/>
        <v>19</v>
      </c>
      <c r="C32" s="14">
        <f t="shared" si="17"/>
        <v>30940</v>
      </c>
      <c r="D32" s="15">
        <f t="shared" si="11"/>
        <v>90.757333333333335</v>
      </c>
      <c r="E32" s="14">
        <f t="shared" si="12"/>
        <v>3.176506666666667</v>
      </c>
      <c r="F32" s="14">
        <f t="shared" si="13"/>
        <v>0.45378666666666667</v>
      </c>
      <c r="G32" s="14">
        <f t="shared" si="14"/>
        <v>0.5</v>
      </c>
      <c r="H32" s="14">
        <f t="shared" si="18"/>
        <v>94.887626666666677</v>
      </c>
      <c r="I32" s="101">
        <f t="shared" si="15"/>
        <v>14.233144000000001</v>
      </c>
      <c r="J32" s="16">
        <f t="shared" si="19"/>
        <v>109.12077066666667</v>
      </c>
      <c r="M32" s="14">
        <f t="shared" si="5"/>
        <v>101.76804068794077</v>
      </c>
      <c r="N32" s="14">
        <f t="shared" si="9"/>
        <v>-7.3527299787259039</v>
      </c>
      <c r="O32" s="14">
        <f t="shared" si="20"/>
        <v>-458.76171315134803</v>
      </c>
    </row>
    <row r="33" spans="2:15" x14ac:dyDescent="0.35">
      <c r="B33" s="13">
        <f t="shared" si="16"/>
        <v>20</v>
      </c>
      <c r="C33" s="14">
        <f t="shared" si="17"/>
        <v>30430</v>
      </c>
      <c r="D33" s="15">
        <f t="shared" si="11"/>
        <v>89.26133333333334</v>
      </c>
      <c r="E33" s="14">
        <f t="shared" si="12"/>
        <v>3.1241466666666673</v>
      </c>
      <c r="F33" s="14">
        <f t="shared" si="13"/>
        <v>0.44630666666666668</v>
      </c>
      <c r="G33" s="14">
        <f t="shared" si="14"/>
        <v>0.5</v>
      </c>
      <c r="H33" s="14">
        <f t="shared" si="18"/>
        <v>93.331786666666673</v>
      </c>
      <c r="I33" s="101">
        <f t="shared" si="15"/>
        <v>13.999768000000001</v>
      </c>
      <c r="J33" s="16">
        <f t="shared" si="19"/>
        <v>107.33155466666668</v>
      </c>
      <c r="M33" s="14">
        <f t="shared" si="5"/>
        <v>101.76804068794077</v>
      </c>
      <c r="N33" s="14">
        <f t="shared" si="9"/>
        <v>-5.5635139787259078</v>
      </c>
      <c r="O33" s="14">
        <f t="shared" si="20"/>
        <v>-464.32522713007393</v>
      </c>
    </row>
    <row r="34" spans="2:15" x14ac:dyDescent="0.35">
      <c r="B34" s="13">
        <f t="shared" si="16"/>
        <v>21</v>
      </c>
      <c r="C34" s="14">
        <f t="shared" si="17"/>
        <v>29920</v>
      </c>
      <c r="D34" s="15">
        <f t="shared" si="11"/>
        <v>87.765333333333331</v>
      </c>
      <c r="E34" s="14">
        <f t="shared" si="12"/>
        <v>3.0717866666666667</v>
      </c>
      <c r="F34" s="14">
        <f t="shared" si="13"/>
        <v>0.43882666666666664</v>
      </c>
      <c r="G34" s="14">
        <f t="shared" si="14"/>
        <v>0.5</v>
      </c>
      <c r="H34" s="14">
        <f t="shared" si="18"/>
        <v>91.77594666666667</v>
      </c>
      <c r="I34" s="101">
        <f t="shared" si="15"/>
        <v>13.766392</v>
      </c>
      <c r="J34" s="16">
        <f t="shared" si="19"/>
        <v>105.54233866666667</v>
      </c>
      <c r="M34" s="14">
        <f t="shared" si="5"/>
        <v>101.76804068794077</v>
      </c>
      <c r="N34" s="14">
        <f t="shared" si="9"/>
        <v>-3.7742979787258975</v>
      </c>
      <c r="O34" s="14">
        <f t="shared" si="20"/>
        <v>-468.09952510879981</v>
      </c>
    </row>
    <row r="35" spans="2:15" x14ac:dyDescent="0.35">
      <c r="B35" s="13">
        <f t="shared" si="16"/>
        <v>22</v>
      </c>
      <c r="C35" s="14">
        <f t="shared" si="17"/>
        <v>29410</v>
      </c>
      <c r="D35" s="15">
        <f t="shared" si="11"/>
        <v>86.269333333333336</v>
      </c>
      <c r="E35" s="14">
        <f t="shared" si="12"/>
        <v>3.0194266666666669</v>
      </c>
      <c r="F35" s="14">
        <f t="shared" si="13"/>
        <v>0.43134666666666671</v>
      </c>
      <c r="G35" s="14">
        <f t="shared" si="14"/>
        <v>0.5</v>
      </c>
      <c r="H35" s="14">
        <f t="shared" si="18"/>
        <v>90.220106666666666</v>
      </c>
      <c r="I35" s="101">
        <f t="shared" si="15"/>
        <v>13.533016</v>
      </c>
      <c r="J35" s="16">
        <f t="shared" si="19"/>
        <v>103.75312266666667</v>
      </c>
      <c r="M35" s="14">
        <f t="shared" si="5"/>
        <v>101.76804068794077</v>
      </c>
      <c r="N35" s="14">
        <f t="shared" si="9"/>
        <v>-1.9850819787259013</v>
      </c>
      <c r="O35" s="14">
        <f t="shared" si="20"/>
        <v>-470.08460708752568</v>
      </c>
    </row>
    <row r="36" spans="2:15" x14ac:dyDescent="0.35">
      <c r="B36" s="13">
        <f t="shared" si="16"/>
        <v>23</v>
      </c>
      <c r="C36" s="14">
        <f t="shared" si="17"/>
        <v>28900</v>
      </c>
      <c r="D36" s="15">
        <f t="shared" si="11"/>
        <v>84.773333333333341</v>
      </c>
      <c r="E36" s="14">
        <f t="shared" si="12"/>
        <v>2.9670666666666672</v>
      </c>
      <c r="F36" s="14">
        <f t="shared" si="13"/>
        <v>0.42386666666666672</v>
      </c>
      <c r="G36" s="14">
        <f t="shared" si="14"/>
        <v>0.5</v>
      </c>
      <c r="H36" s="14">
        <f t="shared" si="18"/>
        <v>88.664266666666677</v>
      </c>
      <c r="I36" s="101">
        <f t="shared" si="15"/>
        <v>13.299640000000002</v>
      </c>
      <c r="J36" s="16">
        <f t="shared" si="19"/>
        <v>101.96390666666667</v>
      </c>
      <c r="M36" s="14">
        <f t="shared" si="5"/>
        <v>101.76804068794077</v>
      </c>
      <c r="N36" s="14">
        <f t="shared" si="9"/>
        <v>-0.19586597872590517</v>
      </c>
      <c r="O36" s="14">
        <f t="shared" si="20"/>
        <v>-470.2804730662516</v>
      </c>
    </row>
    <row r="37" spans="2:15" x14ac:dyDescent="0.35">
      <c r="B37" s="13">
        <f t="shared" si="16"/>
        <v>24</v>
      </c>
      <c r="C37" s="14">
        <f t="shared" si="17"/>
        <v>28390</v>
      </c>
      <c r="D37" s="15">
        <f t="shared" si="11"/>
        <v>83.277333333333331</v>
      </c>
      <c r="E37" s="14">
        <f t="shared" si="12"/>
        <v>2.914706666666667</v>
      </c>
      <c r="F37" s="14">
        <f t="shared" si="13"/>
        <v>0.41638666666666668</v>
      </c>
      <c r="G37" s="14">
        <f t="shared" si="14"/>
        <v>0.5</v>
      </c>
      <c r="H37" s="14">
        <f t="shared" si="18"/>
        <v>87.108426666666659</v>
      </c>
      <c r="I37" s="101">
        <f t="shared" si="15"/>
        <v>13.066263999999999</v>
      </c>
      <c r="J37" s="16">
        <f t="shared" si="19"/>
        <v>100.17469066666666</v>
      </c>
      <c r="M37" s="14">
        <f t="shared" si="5"/>
        <v>101.76804068794077</v>
      </c>
      <c r="N37" s="14">
        <f t="shared" si="9"/>
        <v>1.5933500212741052</v>
      </c>
      <c r="O37" s="14">
        <f t="shared" si="20"/>
        <v>-468.68712304497751</v>
      </c>
    </row>
    <row r="38" spans="2:15" x14ac:dyDescent="0.35">
      <c r="B38" s="13">
        <f>IF($D$3&gt;=3,B37+1,"")</f>
        <v>25</v>
      </c>
      <c r="C38" s="14">
        <f>IF($D$3&gt;=3,E8,"")</f>
        <v>27880</v>
      </c>
      <c r="D38" s="15">
        <f t="shared" ref="D38:D49" si="21">IF($D$3&gt;=3,C38*($H$8/12),"")</f>
        <v>81.781333333333336</v>
      </c>
      <c r="E38" s="14">
        <f t="shared" ref="E38:E49" si="22">IF($D$3&gt;=3,D38*$E$12,"")</f>
        <v>2.8623466666666668</v>
      </c>
      <c r="F38" s="14">
        <f t="shared" ref="F38:F49" si="23">IF($D$3&gt;=3,D38*$F$12,"")</f>
        <v>0.4089066666666667</v>
      </c>
      <c r="G38" s="14">
        <f t="shared" ref="G38:G49" si="24">IF($D$3&gt;=3,$G$12,"")</f>
        <v>0.5</v>
      </c>
      <c r="H38" s="14">
        <f>IF($D$3&gt;=3,SUM(D38:G38),"")</f>
        <v>85.55258666666667</v>
      </c>
      <c r="I38" s="101">
        <f t="shared" ref="I38:I49" si="25">IF($D$3&gt;=3,H38*$I$12,"")</f>
        <v>12.832888000000001</v>
      </c>
      <c r="J38" s="16">
        <f>IF($D$3&gt;=3,H38+I38,"")</f>
        <v>98.385474666666667</v>
      </c>
      <c r="M38" s="14">
        <f t="shared" si="5"/>
        <v>101.76804068794077</v>
      </c>
      <c r="N38" s="14">
        <f t="shared" si="9"/>
        <v>3.3825660212741013</v>
      </c>
      <c r="O38" s="14">
        <f>IF($D$3&gt;=3,O37+N38,"")</f>
        <v>-465.30455702370341</v>
      </c>
    </row>
    <row r="39" spans="2:15" x14ac:dyDescent="0.35">
      <c r="B39" s="13">
        <f t="shared" ref="B39:B49" si="26">IF($D$3&gt;=3,B38+1,"")</f>
        <v>26</v>
      </c>
      <c r="C39" s="14">
        <f t="shared" ref="C39:C49" si="27">IF($D$3&gt;=3,C38-G$8,"")</f>
        <v>27461.8</v>
      </c>
      <c r="D39" s="15">
        <f t="shared" si="21"/>
        <v>80.554613333333336</v>
      </c>
      <c r="E39" s="14">
        <f t="shared" si="22"/>
        <v>2.8194114666666672</v>
      </c>
      <c r="F39" s="14">
        <f t="shared" si="23"/>
        <v>0.40277306666666668</v>
      </c>
      <c r="G39" s="14">
        <f t="shared" si="24"/>
        <v>0.5</v>
      </c>
      <c r="H39" s="14">
        <f t="shared" ref="H39:H49" si="28">IF($D$3&gt;=3,SUM(D39:G39),"")</f>
        <v>84.276797866666669</v>
      </c>
      <c r="I39" s="101">
        <f t="shared" si="25"/>
        <v>12.64151968</v>
      </c>
      <c r="J39" s="16">
        <f t="shared" ref="J39:J49" si="29">IF($D$3&gt;=3,H39+I39,"")</f>
        <v>96.918317546666671</v>
      </c>
      <c r="M39" s="14">
        <f t="shared" si="5"/>
        <v>101.76804068794077</v>
      </c>
      <c r="N39" s="14">
        <f t="shared" si="9"/>
        <v>4.8497231412740973</v>
      </c>
      <c r="O39" s="14">
        <f t="shared" ref="O39:O49" si="30">IF($D$3&gt;=3,O38+N39,"")</f>
        <v>-460.45483388242928</v>
      </c>
    </row>
    <row r="40" spans="2:15" x14ac:dyDescent="0.35">
      <c r="B40" s="13">
        <f t="shared" si="26"/>
        <v>27</v>
      </c>
      <c r="C40" s="14">
        <f t="shared" si="27"/>
        <v>27043.599999999999</v>
      </c>
      <c r="D40" s="15">
        <f t="shared" si="21"/>
        <v>79.327893333333336</v>
      </c>
      <c r="E40" s="14">
        <f t="shared" si="22"/>
        <v>2.7764762666666671</v>
      </c>
      <c r="F40" s="14">
        <f t="shared" si="23"/>
        <v>0.39663946666666666</v>
      </c>
      <c r="G40" s="14">
        <f t="shared" si="24"/>
        <v>0.5</v>
      </c>
      <c r="H40" s="14">
        <f t="shared" si="28"/>
        <v>83.001009066666668</v>
      </c>
      <c r="I40" s="101">
        <f t="shared" si="25"/>
        <v>12.45015136</v>
      </c>
      <c r="J40" s="16">
        <f t="shared" si="29"/>
        <v>95.451160426666661</v>
      </c>
      <c r="M40" s="14">
        <f t="shared" si="5"/>
        <v>101.76804068794077</v>
      </c>
      <c r="N40" s="14">
        <f t="shared" si="9"/>
        <v>6.3168802612741075</v>
      </c>
      <c r="O40" s="14">
        <f t="shared" si="30"/>
        <v>-454.13795362115519</v>
      </c>
    </row>
    <row r="41" spans="2:15" x14ac:dyDescent="0.35">
      <c r="B41" s="13">
        <f t="shared" si="26"/>
        <v>28</v>
      </c>
      <c r="C41" s="14">
        <f t="shared" si="27"/>
        <v>26625.399999999998</v>
      </c>
      <c r="D41" s="15">
        <f t="shared" si="21"/>
        <v>78.101173333333321</v>
      </c>
      <c r="E41" s="14">
        <f t="shared" si="22"/>
        <v>2.7335410666666666</v>
      </c>
      <c r="F41" s="14">
        <f t="shared" si="23"/>
        <v>0.39050586666666659</v>
      </c>
      <c r="G41" s="14">
        <f t="shared" si="24"/>
        <v>0.5</v>
      </c>
      <c r="H41" s="14">
        <f t="shared" si="28"/>
        <v>81.725220266666653</v>
      </c>
      <c r="I41" s="101">
        <f t="shared" si="25"/>
        <v>12.258783039999997</v>
      </c>
      <c r="J41" s="16">
        <f t="shared" si="29"/>
        <v>93.984003306666651</v>
      </c>
      <c r="M41" s="14">
        <f t="shared" si="5"/>
        <v>101.76804068794077</v>
      </c>
      <c r="N41" s="14">
        <f t="shared" si="9"/>
        <v>7.7840373812741177</v>
      </c>
      <c r="O41" s="14">
        <f t="shared" si="30"/>
        <v>-446.35391623988107</v>
      </c>
    </row>
    <row r="42" spans="2:15" x14ac:dyDescent="0.35">
      <c r="B42" s="13">
        <f t="shared" si="26"/>
        <v>29</v>
      </c>
      <c r="C42" s="14">
        <f t="shared" si="27"/>
        <v>26207.199999999997</v>
      </c>
      <c r="D42" s="15">
        <f t="shared" si="21"/>
        <v>76.874453333333321</v>
      </c>
      <c r="E42" s="14">
        <f t="shared" si="22"/>
        <v>2.6906058666666666</v>
      </c>
      <c r="F42" s="14">
        <f t="shared" si="23"/>
        <v>0.38437226666666663</v>
      </c>
      <c r="G42" s="14">
        <f t="shared" si="24"/>
        <v>0.5</v>
      </c>
      <c r="H42" s="14">
        <f t="shared" si="28"/>
        <v>80.449431466666667</v>
      </c>
      <c r="I42" s="101">
        <f t="shared" si="25"/>
        <v>12.06741472</v>
      </c>
      <c r="J42" s="16">
        <f t="shared" si="29"/>
        <v>92.516846186666669</v>
      </c>
      <c r="M42" s="14">
        <f t="shared" si="5"/>
        <v>101.76804068794077</v>
      </c>
      <c r="N42" s="14">
        <f t="shared" si="9"/>
        <v>9.2511945012740995</v>
      </c>
      <c r="O42" s="14">
        <f t="shared" si="30"/>
        <v>-437.10272173860699</v>
      </c>
    </row>
    <row r="43" spans="2:15" x14ac:dyDescent="0.35">
      <c r="B43" s="13">
        <f t="shared" si="26"/>
        <v>30</v>
      </c>
      <c r="C43" s="14">
        <f t="shared" si="27"/>
        <v>25788.999999999996</v>
      </c>
      <c r="D43" s="15">
        <f t="shared" si="21"/>
        <v>75.647733333333321</v>
      </c>
      <c r="E43" s="14">
        <f t="shared" si="22"/>
        <v>2.6476706666666665</v>
      </c>
      <c r="F43" s="14">
        <f t="shared" si="23"/>
        <v>0.37823866666666661</v>
      </c>
      <c r="G43" s="14">
        <f t="shared" si="24"/>
        <v>0.5</v>
      </c>
      <c r="H43" s="14">
        <f t="shared" si="28"/>
        <v>79.173642666666652</v>
      </c>
      <c r="I43" s="101">
        <f t="shared" si="25"/>
        <v>11.876046399999998</v>
      </c>
      <c r="J43" s="16">
        <f t="shared" si="29"/>
        <v>91.049689066666645</v>
      </c>
      <c r="M43" s="14">
        <f t="shared" si="5"/>
        <v>101.76804068794077</v>
      </c>
      <c r="N43" s="14">
        <f t="shared" si="9"/>
        <v>10.718351621274124</v>
      </c>
      <c r="O43" s="14">
        <f t="shared" si="30"/>
        <v>-426.38437011733288</v>
      </c>
    </row>
    <row r="44" spans="2:15" x14ac:dyDescent="0.35">
      <c r="B44" s="13">
        <f t="shared" si="26"/>
        <v>31</v>
      </c>
      <c r="C44" s="14">
        <f t="shared" si="27"/>
        <v>25370.799999999996</v>
      </c>
      <c r="D44" s="15">
        <f t="shared" si="21"/>
        <v>74.42101333333332</v>
      </c>
      <c r="E44" s="14">
        <f t="shared" si="22"/>
        <v>2.6047354666666664</v>
      </c>
      <c r="F44" s="14">
        <f t="shared" si="23"/>
        <v>0.3721050666666666</v>
      </c>
      <c r="G44" s="14">
        <f t="shared" si="24"/>
        <v>0.5</v>
      </c>
      <c r="H44" s="14">
        <f t="shared" si="28"/>
        <v>77.897853866666651</v>
      </c>
      <c r="I44" s="101">
        <f t="shared" si="25"/>
        <v>11.684678079999998</v>
      </c>
      <c r="J44" s="16">
        <f t="shared" si="29"/>
        <v>89.582531946666649</v>
      </c>
      <c r="M44" s="14">
        <f t="shared" si="5"/>
        <v>101.76804068794077</v>
      </c>
      <c r="N44" s="14">
        <f t="shared" si="9"/>
        <v>12.18550874127412</v>
      </c>
      <c r="O44" s="14">
        <f t="shared" si="30"/>
        <v>-414.19886137605874</v>
      </c>
    </row>
    <row r="45" spans="2:15" x14ac:dyDescent="0.35">
      <c r="B45" s="13">
        <f t="shared" si="26"/>
        <v>32</v>
      </c>
      <c r="C45" s="14">
        <f t="shared" si="27"/>
        <v>24952.599999999995</v>
      </c>
      <c r="D45" s="15">
        <f t="shared" si="21"/>
        <v>73.19429333333332</v>
      </c>
      <c r="E45" s="14">
        <f t="shared" si="22"/>
        <v>2.5618002666666664</v>
      </c>
      <c r="F45" s="14">
        <f t="shared" si="23"/>
        <v>0.36597146666666663</v>
      </c>
      <c r="G45" s="14">
        <f t="shared" si="24"/>
        <v>0.5</v>
      </c>
      <c r="H45" s="14">
        <f t="shared" si="28"/>
        <v>76.62206506666665</v>
      </c>
      <c r="I45" s="101">
        <f t="shared" si="25"/>
        <v>11.493309759999997</v>
      </c>
      <c r="J45" s="16">
        <f t="shared" si="29"/>
        <v>88.115374826666653</v>
      </c>
      <c r="M45" s="14">
        <f t="shared" si="5"/>
        <v>101.76804068794077</v>
      </c>
      <c r="N45" s="14">
        <f t="shared" si="9"/>
        <v>13.652665861274116</v>
      </c>
      <c r="O45" s="14">
        <f t="shared" si="30"/>
        <v>-400.54619551478464</v>
      </c>
    </row>
    <row r="46" spans="2:15" x14ac:dyDescent="0.35">
      <c r="B46" s="13">
        <f t="shared" si="26"/>
        <v>33</v>
      </c>
      <c r="C46" s="14">
        <f t="shared" si="27"/>
        <v>24534.399999999994</v>
      </c>
      <c r="D46" s="15">
        <f t="shared" si="21"/>
        <v>71.96757333333332</v>
      </c>
      <c r="E46" s="14">
        <f t="shared" si="22"/>
        <v>2.5188650666666663</v>
      </c>
      <c r="F46" s="14">
        <f t="shared" si="23"/>
        <v>0.35983786666666662</v>
      </c>
      <c r="G46" s="14">
        <f t="shared" si="24"/>
        <v>0.5</v>
      </c>
      <c r="H46" s="14">
        <f t="shared" si="28"/>
        <v>75.346276266666649</v>
      </c>
      <c r="I46" s="101">
        <f t="shared" si="25"/>
        <v>11.301941439999997</v>
      </c>
      <c r="J46" s="16">
        <f t="shared" si="29"/>
        <v>86.648217706666642</v>
      </c>
      <c r="M46" s="14">
        <f t="shared" ref="M46:M73" si="31">$K$5</f>
        <v>101.76804068794077</v>
      </c>
      <c r="N46" s="14">
        <f t="shared" si="9"/>
        <v>15.119822981274126</v>
      </c>
      <c r="O46" s="14">
        <f t="shared" si="30"/>
        <v>-385.42637253351052</v>
      </c>
    </row>
    <row r="47" spans="2:15" x14ac:dyDescent="0.35">
      <c r="B47" s="13">
        <f t="shared" si="26"/>
        <v>34</v>
      </c>
      <c r="C47" s="14">
        <f t="shared" si="27"/>
        <v>24116.199999999993</v>
      </c>
      <c r="D47" s="15">
        <f t="shared" si="21"/>
        <v>70.74085333333332</v>
      </c>
      <c r="E47" s="14">
        <f t="shared" si="22"/>
        <v>2.4759298666666663</v>
      </c>
      <c r="F47" s="14">
        <f t="shared" si="23"/>
        <v>0.3537042666666666</v>
      </c>
      <c r="G47" s="14">
        <f t="shared" si="24"/>
        <v>0.5</v>
      </c>
      <c r="H47" s="14">
        <f t="shared" si="28"/>
        <v>74.070487466666648</v>
      </c>
      <c r="I47" s="101">
        <f t="shared" si="25"/>
        <v>11.110573119999996</v>
      </c>
      <c r="J47" s="16">
        <f t="shared" si="29"/>
        <v>85.181060586666646</v>
      </c>
      <c r="M47" s="14">
        <f t="shared" si="31"/>
        <v>101.76804068794077</v>
      </c>
      <c r="N47" s="14">
        <f t="shared" si="9"/>
        <v>16.586980101274122</v>
      </c>
      <c r="O47" s="14">
        <f t="shared" si="30"/>
        <v>-368.83939243223642</v>
      </c>
    </row>
    <row r="48" spans="2:15" x14ac:dyDescent="0.35">
      <c r="B48" s="13">
        <f t="shared" si="26"/>
        <v>35</v>
      </c>
      <c r="C48" s="14">
        <f t="shared" si="27"/>
        <v>23697.999999999993</v>
      </c>
      <c r="D48" s="15">
        <f t="shared" si="21"/>
        <v>69.514133333333319</v>
      </c>
      <c r="E48" s="14">
        <f t="shared" si="22"/>
        <v>2.4329946666666662</v>
      </c>
      <c r="F48" s="14">
        <f t="shared" si="23"/>
        <v>0.34757066666666658</v>
      </c>
      <c r="G48" s="14">
        <f t="shared" si="24"/>
        <v>0.5</v>
      </c>
      <c r="H48" s="14">
        <f t="shared" si="28"/>
        <v>72.794698666666662</v>
      </c>
      <c r="I48" s="101">
        <f t="shared" si="25"/>
        <v>10.919204799999999</v>
      </c>
      <c r="J48" s="16">
        <f t="shared" si="29"/>
        <v>83.713903466666665</v>
      </c>
      <c r="M48" s="14">
        <f t="shared" si="31"/>
        <v>101.76804068794077</v>
      </c>
      <c r="N48" s="14">
        <f t="shared" si="9"/>
        <v>18.054137221274104</v>
      </c>
      <c r="O48" s="14">
        <f t="shared" si="30"/>
        <v>-350.7852552109623</v>
      </c>
    </row>
    <row r="49" spans="2:15" x14ac:dyDescent="0.35">
      <c r="B49" s="13">
        <f t="shared" si="26"/>
        <v>36</v>
      </c>
      <c r="C49" s="14">
        <f t="shared" si="27"/>
        <v>23279.799999999992</v>
      </c>
      <c r="D49" s="15">
        <f t="shared" si="21"/>
        <v>68.287413333333305</v>
      </c>
      <c r="E49" s="14">
        <f t="shared" si="22"/>
        <v>2.3900594666666657</v>
      </c>
      <c r="F49" s="14">
        <f t="shared" si="23"/>
        <v>0.34143706666666651</v>
      </c>
      <c r="G49" s="14">
        <f t="shared" si="24"/>
        <v>0.5</v>
      </c>
      <c r="H49" s="14">
        <f t="shared" si="28"/>
        <v>71.518909866666647</v>
      </c>
      <c r="I49" s="101">
        <f t="shared" si="25"/>
        <v>10.727836479999997</v>
      </c>
      <c r="J49" s="16">
        <f t="shared" si="29"/>
        <v>82.24674634666664</v>
      </c>
      <c r="M49" s="14">
        <f t="shared" si="31"/>
        <v>101.76804068794077</v>
      </c>
      <c r="N49" s="14">
        <f t="shared" si="9"/>
        <v>19.521294341274128</v>
      </c>
      <c r="O49" s="14">
        <f t="shared" si="30"/>
        <v>-331.26396086968816</v>
      </c>
    </row>
    <row r="50" spans="2:15" x14ac:dyDescent="0.35">
      <c r="B50" s="13">
        <f>IF($D$3&gt;=4,B49+1,"")</f>
        <v>37</v>
      </c>
      <c r="C50" s="17">
        <f>IF($D$3&gt;=3,E9,"")</f>
        <v>22861.599999999999</v>
      </c>
      <c r="D50" s="15">
        <f t="shared" ref="D50:D61" si="32">IF($D$3&gt;=4,C50*($H$9/12),"")</f>
        <v>67.060693333333333</v>
      </c>
      <c r="E50" s="14">
        <f t="shared" ref="E50:E61" si="33">IF($D$3&gt;=4,D50*$E$12,"")</f>
        <v>2.347124266666667</v>
      </c>
      <c r="F50" s="14">
        <f t="shared" ref="F50:F61" si="34">IF($D$3&gt;=4,D50*$F$12,"")</f>
        <v>0.33530346666666666</v>
      </c>
      <c r="G50" s="14">
        <f t="shared" ref="G50:G61" si="35">IF($D$3&gt;=4,$G$12,"")</f>
        <v>0.5</v>
      </c>
      <c r="H50" s="14">
        <f>IF($D$3&gt;=4,SUM(D50:G50),"")</f>
        <v>70.243121066666674</v>
      </c>
      <c r="I50" s="101">
        <f t="shared" ref="I50:I61" si="36">IF($D$3&gt;=4,H50*$I$12,"")</f>
        <v>10.53646816</v>
      </c>
      <c r="J50" s="16">
        <f>IF($D$3&gt;=4,H50+I50,"")</f>
        <v>80.779589226666673</v>
      </c>
      <c r="M50" s="14">
        <f t="shared" si="31"/>
        <v>101.76804068794077</v>
      </c>
      <c r="N50" s="14">
        <f t="shared" si="9"/>
        <v>20.988451461274096</v>
      </c>
      <c r="O50" s="14">
        <f>IF($D$3&gt;=4,O49+N50,"")</f>
        <v>-310.27550940841405</v>
      </c>
    </row>
    <row r="51" spans="2:15" x14ac:dyDescent="0.35">
      <c r="B51" s="13">
        <f t="shared" ref="B51:B61" si="37">IF($D$3&gt;=4,B50+1,"")</f>
        <v>38</v>
      </c>
      <c r="C51" s="17">
        <f t="shared" ref="C51:C61" si="38">IF($D$3&gt;=4,C50-G$9,"")</f>
        <v>22518.675999999999</v>
      </c>
      <c r="D51" s="15">
        <f t="shared" si="32"/>
        <v>66.054782933333328</v>
      </c>
      <c r="E51" s="14">
        <f t="shared" si="33"/>
        <v>2.3119174026666669</v>
      </c>
      <c r="F51" s="14">
        <f t="shared" si="34"/>
        <v>0.33027391466666667</v>
      </c>
      <c r="G51" s="14">
        <f t="shared" si="35"/>
        <v>0.5</v>
      </c>
      <c r="H51" s="14">
        <f t="shared" ref="H51:H61" si="39">IF($D$3&gt;=4,SUM(D51:G51),"")</f>
        <v>69.196974250666656</v>
      </c>
      <c r="I51" s="101">
        <f t="shared" si="36"/>
        <v>10.379546137599998</v>
      </c>
      <c r="J51" s="16">
        <f t="shared" ref="J51:J61" si="40">IF($D$3&gt;=4,H51+I51,"")</f>
        <v>79.576520388266658</v>
      </c>
      <c r="M51" s="14">
        <f t="shared" si="31"/>
        <v>101.76804068794077</v>
      </c>
      <c r="N51" s="14">
        <f t="shared" si="9"/>
        <v>22.19152029967411</v>
      </c>
      <c r="O51" s="14">
        <f t="shared" ref="O51:O60" si="41">IF($D$3&gt;=4,O50+N51,"")</f>
        <v>-288.08398910873996</v>
      </c>
    </row>
    <row r="52" spans="2:15" x14ac:dyDescent="0.35">
      <c r="B52" s="13">
        <f t="shared" si="37"/>
        <v>39</v>
      </c>
      <c r="C52" s="17">
        <f t="shared" si="38"/>
        <v>22175.752</v>
      </c>
      <c r="D52" s="15">
        <f t="shared" si="32"/>
        <v>65.048872533333338</v>
      </c>
      <c r="E52" s="14">
        <f t="shared" si="33"/>
        <v>2.2767105386666668</v>
      </c>
      <c r="F52" s="14">
        <f t="shared" si="34"/>
        <v>0.32524436266666668</v>
      </c>
      <c r="G52" s="14">
        <f t="shared" si="35"/>
        <v>0.5</v>
      </c>
      <c r="H52" s="14">
        <f t="shared" si="39"/>
        <v>68.150827434666667</v>
      </c>
      <c r="I52" s="101">
        <f t="shared" si="36"/>
        <v>10.2226241152</v>
      </c>
      <c r="J52" s="16">
        <f t="shared" si="40"/>
        <v>78.373451549866672</v>
      </c>
      <c r="M52" s="14">
        <f t="shared" si="31"/>
        <v>101.76804068794077</v>
      </c>
      <c r="N52" s="14">
        <f t="shared" si="9"/>
        <v>23.394589138074096</v>
      </c>
      <c r="O52" s="14">
        <f t="shared" si="41"/>
        <v>-264.68939997066587</v>
      </c>
    </row>
    <row r="53" spans="2:15" x14ac:dyDescent="0.35">
      <c r="B53" s="13">
        <f t="shared" si="37"/>
        <v>40</v>
      </c>
      <c r="C53" s="17">
        <f t="shared" si="38"/>
        <v>21832.828000000001</v>
      </c>
      <c r="D53" s="15">
        <f t="shared" si="32"/>
        <v>64.042962133333333</v>
      </c>
      <c r="E53" s="14">
        <f t="shared" si="33"/>
        <v>2.2415036746666668</v>
      </c>
      <c r="F53" s="14">
        <f t="shared" si="34"/>
        <v>0.32021481066666668</v>
      </c>
      <c r="G53" s="14">
        <f t="shared" si="35"/>
        <v>0.5</v>
      </c>
      <c r="H53" s="14">
        <f t="shared" si="39"/>
        <v>67.104680618666663</v>
      </c>
      <c r="I53" s="101">
        <f t="shared" si="36"/>
        <v>10.065702092799999</v>
      </c>
      <c r="J53" s="16">
        <f t="shared" si="40"/>
        <v>77.170382711466658</v>
      </c>
      <c r="M53" s="14">
        <f t="shared" si="31"/>
        <v>101.76804068794077</v>
      </c>
      <c r="N53" s="14">
        <f t="shared" si="9"/>
        <v>24.59765797647411</v>
      </c>
      <c r="O53" s="14">
        <f t="shared" si="41"/>
        <v>-240.09174199419175</v>
      </c>
    </row>
    <row r="54" spans="2:15" x14ac:dyDescent="0.35">
      <c r="B54" s="13">
        <f t="shared" si="37"/>
        <v>41</v>
      </c>
      <c r="C54" s="17">
        <f t="shared" si="38"/>
        <v>21489.904000000002</v>
      </c>
      <c r="D54" s="15">
        <f t="shared" si="32"/>
        <v>63.037051733333342</v>
      </c>
      <c r="E54" s="14">
        <f t="shared" si="33"/>
        <v>2.2062968106666672</v>
      </c>
      <c r="F54" s="14">
        <f t="shared" si="34"/>
        <v>0.31518525866666675</v>
      </c>
      <c r="G54" s="14">
        <f t="shared" si="35"/>
        <v>0.5</v>
      </c>
      <c r="H54" s="14">
        <f t="shared" si="39"/>
        <v>66.058533802666688</v>
      </c>
      <c r="I54" s="101">
        <f t="shared" si="36"/>
        <v>9.9087800704000024</v>
      </c>
      <c r="J54" s="16">
        <f t="shared" si="40"/>
        <v>75.967313873066686</v>
      </c>
      <c r="M54" s="14">
        <f t="shared" si="31"/>
        <v>101.76804068794077</v>
      </c>
      <c r="N54" s="14">
        <f t="shared" si="9"/>
        <v>25.800726814874082</v>
      </c>
      <c r="O54" s="14">
        <f t="shared" si="41"/>
        <v>-214.29101517931767</v>
      </c>
    </row>
    <row r="55" spans="2:15" x14ac:dyDescent="0.35">
      <c r="B55" s="13">
        <f t="shared" si="37"/>
        <v>42</v>
      </c>
      <c r="C55" s="17">
        <f t="shared" si="38"/>
        <v>21146.980000000003</v>
      </c>
      <c r="D55" s="15">
        <f t="shared" si="32"/>
        <v>62.031141333333345</v>
      </c>
      <c r="E55" s="14">
        <f t="shared" si="33"/>
        <v>2.1710899466666671</v>
      </c>
      <c r="F55" s="14">
        <f t="shared" si="34"/>
        <v>0.31015570666666675</v>
      </c>
      <c r="G55" s="14">
        <f t="shared" si="35"/>
        <v>0.5</v>
      </c>
      <c r="H55" s="14">
        <f t="shared" si="39"/>
        <v>65.012386986666669</v>
      </c>
      <c r="I55" s="101">
        <f t="shared" si="36"/>
        <v>9.7518580480000008</v>
      </c>
      <c r="J55" s="16">
        <f t="shared" si="40"/>
        <v>74.764245034666672</v>
      </c>
      <c r="M55" s="14">
        <f t="shared" si="31"/>
        <v>101.76804068794077</v>
      </c>
      <c r="N55" s="14">
        <f t="shared" si="9"/>
        <v>27.003795653274096</v>
      </c>
      <c r="O55" s="14">
        <f t="shared" si="41"/>
        <v>-187.28721952604357</v>
      </c>
    </row>
    <row r="56" spans="2:15" x14ac:dyDescent="0.35">
      <c r="B56" s="13">
        <f t="shared" si="37"/>
        <v>43</v>
      </c>
      <c r="C56" s="17">
        <f t="shared" si="38"/>
        <v>20804.056000000004</v>
      </c>
      <c r="D56" s="15">
        <f t="shared" si="32"/>
        <v>61.025230933333347</v>
      </c>
      <c r="E56" s="14">
        <f t="shared" si="33"/>
        <v>2.1358830826666675</v>
      </c>
      <c r="F56" s="14">
        <f t="shared" si="34"/>
        <v>0.30512615466666676</v>
      </c>
      <c r="G56" s="14">
        <f t="shared" si="35"/>
        <v>0.5</v>
      </c>
      <c r="H56" s="14">
        <f t="shared" si="39"/>
        <v>63.96624017066668</v>
      </c>
      <c r="I56" s="101">
        <f t="shared" si="36"/>
        <v>9.5949360256000009</v>
      </c>
      <c r="J56" s="16">
        <f t="shared" si="40"/>
        <v>73.561176196266686</v>
      </c>
      <c r="M56" s="14">
        <f t="shared" si="31"/>
        <v>101.76804068794077</v>
      </c>
      <c r="N56" s="14">
        <f t="shared" si="9"/>
        <v>28.206864491674082</v>
      </c>
      <c r="O56" s="14">
        <f t="shared" si="41"/>
        <v>-159.08035503436949</v>
      </c>
    </row>
    <row r="57" spans="2:15" x14ac:dyDescent="0.35">
      <c r="B57" s="13">
        <f t="shared" si="37"/>
        <v>44</v>
      </c>
      <c r="C57" s="17">
        <f t="shared" si="38"/>
        <v>20461.132000000005</v>
      </c>
      <c r="D57" s="15">
        <f t="shared" si="32"/>
        <v>60.019320533333349</v>
      </c>
      <c r="E57" s="14">
        <f t="shared" si="33"/>
        <v>2.1006762186666674</v>
      </c>
      <c r="F57" s="14">
        <f t="shared" si="34"/>
        <v>0.30009660266666677</v>
      </c>
      <c r="G57" s="14">
        <f t="shared" si="35"/>
        <v>0.5</v>
      </c>
      <c r="H57" s="14">
        <f t="shared" si="39"/>
        <v>62.92009335466669</v>
      </c>
      <c r="I57" s="101">
        <f t="shared" si="36"/>
        <v>9.4380140032000028</v>
      </c>
      <c r="J57" s="16">
        <f t="shared" si="40"/>
        <v>72.358107357866686</v>
      </c>
      <c r="M57" s="14">
        <f t="shared" si="31"/>
        <v>101.76804068794077</v>
      </c>
      <c r="N57" s="14">
        <f t="shared" si="9"/>
        <v>29.409933330074082</v>
      </c>
      <c r="O57" s="14">
        <f t="shared" si="41"/>
        <v>-129.67042170429539</v>
      </c>
    </row>
    <row r="58" spans="2:15" x14ac:dyDescent="0.35">
      <c r="B58" s="13">
        <f t="shared" si="37"/>
        <v>45</v>
      </c>
      <c r="C58" s="17">
        <f t="shared" si="38"/>
        <v>20118.208000000006</v>
      </c>
      <c r="D58" s="15">
        <f t="shared" si="32"/>
        <v>59.013410133333352</v>
      </c>
      <c r="E58" s="14">
        <f t="shared" si="33"/>
        <v>2.0654693546666674</v>
      </c>
      <c r="F58" s="14">
        <f t="shared" si="34"/>
        <v>0.29506705066666677</v>
      </c>
      <c r="G58" s="14">
        <f t="shared" si="35"/>
        <v>0.5</v>
      </c>
      <c r="H58" s="14">
        <f t="shared" si="39"/>
        <v>61.873946538666686</v>
      </c>
      <c r="I58" s="101">
        <f t="shared" si="36"/>
        <v>9.281091980800003</v>
      </c>
      <c r="J58" s="16">
        <f t="shared" si="40"/>
        <v>71.155038519466686</v>
      </c>
      <c r="M58" s="14">
        <f t="shared" si="31"/>
        <v>101.76804068794077</v>
      </c>
      <c r="N58" s="14">
        <f t="shared" si="9"/>
        <v>30.613002168474083</v>
      </c>
      <c r="O58" s="14">
        <f t="shared" si="41"/>
        <v>-99.05741953582131</v>
      </c>
    </row>
    <row r="59" spans="2:15" x14ac:dyDescent="0.35">
      <c r="B59" s="13">
        <f t="shared" si="37"/>
        <v>46</v>
      </c>
      <c r="C59" s="17">
        <f t="shared" si="38"/>
        <v>19775.284000000007</v>
      </c>
      <c r="D59" s="15">
        <f t="shared" si="32"/>
        <v>58.007499733333354</v>
      </c>
      <c r="E59" s="14">
        <f t="shared" si="33"/>
        <v>2.0302624906666678</v>
      </c>
      <c r="F59" s="14">
        <f t="shared" si="34"/>
        <v>0.29003749866666678</v>
      </c>
      <c r="G59" s="14">
        <f t="shared" si="35"/>
        <v>0.5</v>
      </c>
      <c r="H59" s="14">
        <f t="shared" si="39"/>
        <v>60.827799722666683</v>
      </c>
      <c r="I59" s="101">
        <f t="shared" si="36"/>
        <v>9.1241699584000013</v>
      </c>
      <c r="J59" s="16">
        <f t="shared" si="40"/>
        <v>69.951969681066686</v>
      </c>
      <c r="M59" s="14">
        <f t="shared" si="31"/>
        <v>101.76804068794077</v>
      </c>
      <c r="N59" s="14">
        <f t="shared" si="9"/>
        <v>31.816071006874083</v>
      </c>
      <c r="O59" s="14">
        <f t="shared" si="41"/>
        <v>-67.241348528947228</v>
      </c>
    </row>
    <row r="60" spans="2:15" x14ac:dyDescent="0.35">
      <c r="B60" s="13">
        <f t="shared" si="37"/>
        <v>47</v>
      </c>
      <c r="C60" s="17">
        <f t="shared" si="38"/>
        <v>19432.360000000008</v>
      </c>
      <c r="D60" s="15">
        <f t="shared" si="32"/>
        <v>57.001589333333357</v>
      </c>
      <c r="E60" s="14">
        <f t="shared" si="33"/>
        <v>1.9950556266666677</v>
      </c>
      <c r="F60" s="14">
        <f t="shared" si="34"/>
        <v>0.28500794666666679</v>
      </c>
      <c r="G60" s="14">
        <f t="shared" si="35"/>
        <v>0.5</v>
      </c>
      <c r="H60" s="14">
        <f t="shared" si="39"/>
        <v>59.781652906666693</v>
      </c>
      <c r="I60" s="101">
        <f t="shared" si="36"/>
        <v>8.9672479360000033</v>
      </c>
      <c r="J60" s="16">
        <f t="shared" si="40"/>
        <v>68.7489008426667</v>
      </c>
      <c r="M60" s="14">
        <f t="shared" si="31"/>
        <v>101.76804068794077</v>
      </c>
      <c r="N60" s="14">
        <f t="shared" si="9"/>
        <v>33.019139845274069</v>
      </c>
      <c r="O60" s="14">
        <f t="shared" si="41"/>
        <v>-34.222208683673159</v>
      </c>
    </row>
    <row r="61" spans="2:15" x14ac:dyDescent="0.35">
      <c r="B61" s="67">
        <f t="shared" si="37"/>
        <v>48</v>
      </c>
      <c r="C61" s="68">
        <f t="shared" si="38"/>
        <v>19089.436000000009</v>
      </c>
      <c r="D61" s="69">
        <f t="shared" si="32"/>
        <v>55.995678933333359</v>
      </c>
      <c r="E61" s="70">
        <f t="shared" si="33"/>
        <v>1.9598487626666679</v>
      </c>
      <c r="F61" s="70">
        <f t="shared" si="34"/>
        <v>0.2799783946666668</v>
      </c>
      <c r="G61" s="70">
        <f t="shared" si="35"/>
        <v>0.5</v>
      </c>
      <c r="H61" s="70">
        <f t="shared" si="39"/>
        <v>58.735506090666689</v>
      </c>
      <c r="I61" s="102">
        <f t="shared" si="36"/>
        <v>8.8103259136000034</v>
      </c>
      <c r="J61" s="71">
        <f t="shared" si="40"/>
        <v>67.545832004266686</v>
      </c>
      <c r="M61" s="70">
        <f t="shared" si="31"/>
        <v>101.76804068794077</v>
      </c>
      <c r="N61" s="70">
        <f t="shared" si="9"/>
        <v>34.222208683674083</v>
      </c>
      <c r="O61" s="70">
        <f>IF($D$3&gt;=4,O60+N61,"")</f>
        <v>9.2370555648813024E-13</v>
      </c>
    </row>
    <row r="62" spans="2:15" x14ac:dyDescent="0.35">
      <c r="B62" s="13" t="str">
        <f>IF($D$3&gt;=5,B61+1,"")</f>
        <v/>
      </c>
      <c r="C62" s="72">
        <f>IF($D$3&gt;=4,E10,"")</f>
        <v>18746.511999999999</v>
      </c>
      <c r="D62" s="73" t="str">
        <f t="shared" ref="D62:D73" si="42">IF($D$3&gt;=5,C62*($H$10/12),"")</f>
        <v/>
      </c>
      <c r="E62" s="72" t="str">
        <f>IF($D$3&gt;=5,D62*$E$12,"")</f>
        <v/>
      </c>
      <c r="F62" s="72" t="str">
        <f>IF($D$3&gt;=5,D62*$F$12,"")</f>
        <v/>
      </c>
      <c r="G62" s="14" t="str">
        <f>IF($D$3&gt;=5,$G$12,"")</f>
        <v/>
      </c>
      <c r="H62" s="14" t="str">
        <f>IF($D$3&gt;=5,SUM(D62:G62),"")</f>
        <v/>
      </c>
      <c r="I62" s="101" t="str">
        <f>IF($D$3&gt;=5,H62*$I$12,"")</f>
        <v/>
      </c>
      <c r="J62" s="16" t="str">
        <f>IF($D$3&gt;=5,H62+I62,"")</f>
        <v/>
      </c>
      <c r="K62" s="103"/>
      <c r="L62" s="104"/>
      <c r="M62" s="14">
        <f t="shared" si="31"/>
        <v>101.76804068794077</v>
      </c>
      <c r="N62" s="14" t="e">
        <f t="shared" si="9"/>
        <v>#VALUE!</v>
      </c>
      <c r="O62" s="14" t="str">
        <f>IF($D$3&gt;=5,O61+N62,"")</f>
        <v/>
      </c>
    </row>
    <row r="63" spans="2:15" x14ac:dyDescent="0.35">
      <c r="B63" s="13" t="str">
        <f t="shared" ref="B63:B72" si="43">IF($D$3&gt;=5,B62+1,"")</f>
        <v/>
      </c>
      <c r="C63" s="72" t="str">
        <f t="shared" ref="C63:C73" si="44">IF($D$3&gt;=5,C62-G$10,"")</f>
        <v/>
      </c>
      <c r="D63" s="73" t="str">
        <f t="shared" si="42"/>
        <v/>
      </c>
      <c r="E63" s="72" t="str">
        <f t="shared" ref="E63:E73" si="45">IF($D$3&gt;=5,D63*$E$12,"")</f>
        <v/>
      </c>
      <c r="F63" s="72" t="str">
        <f t="shared" ref="F63:F73" si="46">IF($D$3&gt;=5,D63*$F$12,"")</f>
        <v/>
      </c>
      <c r="G63" s="14" t="str">
        <f t="shared" ref="G63:G73" si="47">IF($D$3&gt;=5,$G$12,"")</f>
        <v/>
      </c>
      <c r="H63" s="14" t="str">
        <f t="shared" ref="H63:H73" si="48">IF($D$3&gt;=5,SUM(D63:G63),"")</f>
        <v/>
      </c>
      <c r="I63" s="101" t="str">
        <f t="shared" ref="I63:I73" si="49">IF($D$3&gt;=5,H63*$I$12,"")</f>
        <v/>
      </c>
      <c r="J63" s="16" t="str">
        <f t="shared" ref="J63:J73" si="50">IF($D$3&gt;=5,H63+I63,"")</f>
        <v/>
      </c>
      <c r="K63" s="103"/>
      <c r="L63" s="104"/>
      <c r="M63" s="14">
        <f t="shared" si="31"/>
        <v>101.76804068794077</v>
      </c>
      <c r="N63" s="14" t="e">
        <f t="shared" si="9"/>
        <v>#VALUE!</v>
      </c>
      <c r="O63" s="14" t="str">
        <f t="shared" ref="O63:O73" si="51">IF($D$3&gt;=5,O62+N63,"")</f>
        <v/>
      </c>
    </row>
    <row r="64" spans="2:15" x14ac:dyDescent="0.35">
      <c r="B64" s="13" t="str">
        <f t="shared" si="43"/>
        <v/>
      </c>
      <c r="C64" s="72" t="str">
        <f t="shared" si="44"/>
        <v/>
      </c>
      <c r="D64" s="73" t="str">
        <f t="shared" si="42"/>
        <v/>
      </c>
      <c r="E64" s="72" t="str">
        <f t="shared" si="45"/>
        <v/>
      </c>
      <c r="F64" s="72" t="str">
        <f t="shared" si="46"/>
        <v/>
      </c>
      <c r="G64" s="14" t="str">
        <f t="shared" si="47"/>
        <v/>
      </c>
      <c r="H64" s="14" t="str">
        <f t="shared" si="48"/>
        <v/>
      </c>
      <c r="I64" s="101" t="str">
        <f t="shared" si="49"/>
        <v/>
      </c>
      <c r="J64" s="16" t="str">
        <f t="shared" si="50"/>
        <v/>
      </c>
      <c r="K64" s="103"/>
      <c r="L64" s="104"/>
      <c r="M64" s="14">
        <f t="shared" si="31"/>
        <v>101.76804068794077</v>
      </c>
      <c r="N64" s="14" t="e">
        <f t="shared" si="9"/>
        <v>#VALUE!</v>
      </c>
      <c r="O64" s="14" t="str">
        <f t="shared" si="51"/>
        <v/>
      </c>
    </row>
    <row r="65" spans="2:15" x14ac:dyDescent="0.35">
      <c r="B65" s="13" t="str">
        <f t="shared" si="43"/>
        <v/>
      </c>
      <c r="C65" s="72" t="str">
        <f t="shared" si="44"/>
        <v/>
      </c>
      <c r="D65" s="73" t="str">
        <f t="shared" si="42"/>
        <v/>
      </c>
      <c r="E65" s="72" t="str">
        <f t="shared" si="45"/>
        <v/>
      </c>
      <c r="F65" s="72" t="str">
        <f t="shared" si="46"/>
        <v/>
      </c>
      <c r="G65" s="14" t="str">
        <f t="shared" si="47"/>
        <v/>
      </c>
      <c r="H65" s="14" t="str">
        <f t="shared" si="48"/>
        <v/>
      </c>
      <c r="I65" s="101" t="str">
        <f t="shared" si="49"/>
        <v/>
      </c>
      <c r="J65" s="16" t="str">
        <f t="shared" si="50"/>
        <v/>
      </c>
      <c r="K65" s="103"/>
      <c r="L65" s="104"/>
      <c r="M65" s="14">
        <f t="shared" si="31"/>
        <v>101.76804068794077</v>
      </c>
      <c r="N65" s="14" t="e">
        <f t="shared" si="9"/>
        <v>#VALUE!</v>
      </c>
      <c r="O65" s="14" t="str">
        <f t="shared" si="51"/>
        <v/>
      </c>
    </row>
    <row r="66" spans="2:15" x14ac:dyDescent="0.35">
      <c r="B66" s="13" t="str">
        <f t="shared" si="43"/>
        <v/>
      </c>
      <c r="C66" s="72" t="str">
        <f t="shared" si="44"/>
        <v/>
      </c>
      <c r="D66" s="73" t="str">
        <f t="shared" si="42"/>
        <v/>
      </c>
      <c r="E66" s="72" t="str">
        <f t="shared" si="45"/>
        <v/>
      </c>
      <c r="F66" s="72" t="str">
        <f t="shared" si="46"/>
        <v/>
      </c>
      <c r="G66" s="14" t="str">
        <f t="shared" si="47"/>
        <v/>
      </c>
      <c r="H66" s="14" t="str">
        <f t="shared" si="48"/>
        <v/>
      </c>
      <c r="I66" s="101" t="str">
        <f t="shared" si="49"/>
        <v/>
      </c>
      <c r="J66" s="16" t="str">
        <f t="shared" si="50"/>
        <v/>
      </c>
      <c r="K66" s="103"/>
      <c r="L66" s="104"/>
      <c r="M66" s="14">
        <f t="shared" si="31"/>
        <v>101.76804068794077</v>
      </c>
      <c r="N66" s="14" t="e">
        <f t="shared" si="9"/>
        <v>#VALUE!</v>
      </c>
      <c r="O66" s="14" t="str">
        <f t="shared" si="51"/>
        <v/>
      </c>
    </row>
    <row r="67" spans="2:15" x14ac:dyDescent="0.35">
      <c r="B67" s="13" t="str">
        <f t="shared" si="43"/>
        <v/>
      </c>
      <c r="C67" s="72" t="str">
        <f t="shared" si="44"/>
        <v/>
      </c>
      <c r="D67" s="73" t="str">
        <f t="shared" si="42"/>
        <v/>
      </c>
      <c r="E67" s="72" t="str">
        <f t="shared" si="45"/>
        <v/>
      </c>
      <c r="F67" s="72" t="str">
        <f t="shared" si="46"/>
        <v/>
      </c>
      <c r="G67" s="14" t="str">
        <f t="shared" si="47"/>
        <v/>
      </c>
      <c r="H67" s="14" t="str">
        <f t="shared" si="48"/>
        <v/>
      </c>
      <c r="I67" s="101" t="str">
        <f t="shared" si="49"/>
        <v/>
      </c>
      <c r="J67" s="16" t="str">
        <f t="shared" si="50"/>
        <v/>
      </c>
      <c r="K67" s="103"/>
      <c r="L67" s="104"/>
      <c r="M67" s="14">
        <f t="shared" si="31"/>
        <v>101.76804068794077</v>
      </c>
      <c r="N67" s="14" t="e">
        <f t="shared" si="9"/>
        <v>#VALUE!</v>
      </c>
      <c r="O67" s="14" t="str">
        <f t="shared" si="51"/>
        <v/>
      </c>
    </row>
    <row r="68" spans="2:15" x14ac:dyDescent="0.35">
      <c r="B68" s="13" t="str">
        <f t="shared" si="43"/>
        <v/>
      </c>
      <c r="C68" s="72" t="str">
        <f t="shared" si="44"/>
        <v/>
      </c>
      <c r="D68" s="73" t="str">
        <f t="shared" si="42"/>
        <v/>
      </c>
      <c r="E68" s="72" t="str">
        <f t="shared" si="45"/>
        <v/>
      </c>
      <c r="F68" s="72" t="str">
        <f t="shared" si="46"/>
        <v/>
      </c>
      <c r="G68" s="14" t="str">
        <f t="shared" si="47"/>
        <v/>
      </c>
      <c r="H68" s="14" t="str">
        <f t="shared" si="48"/>
        <v/>
      </c>
      <c r="I68" s="101" t="str">
        <f t="shared" si="49"/>
        <v/>
      </c>
      <c r="J68" s="16" t="str">
        <f t="shared" si="50"/>
        <v/>
      </c>
      <c r="K68" s="103"/>
      <c r="L68" s="104"/>
      <c r="M68" s="14">
        <f t="shared" si="31"/>
        <v>101.76804068794077</v>
      </c>
      <c r="N68" s="14" t="e">
        <f t="shared" si="9"/>
        <v>#VALUE!</v>
      </c>
      <c r="O68" s="14" t="str">
        <f t="shared" si="51"/>
        <v/>
      </c>
    </row>
    <row r="69" spans="2:15" x14ac:dyDescent="0.35">
      <c r="B69" s="13" t="str">
        <f t="shared" si="43"/>
        <v/>
      </c>
      <c r="C69" s="72" t="str">
        <f t="shared" si="44"/>
        <v/>
      </c>
      <c r="D69" s="73" t="str">
        <f t="shared" si="42"/>
        <v/>
      </c>
      <c r="E69" s="72" t="str">
        <f t="shared" si="45"/>
        <v/>
      </c>
      <c r="F69" s="72" t="str">
        <f t="shared" si="46"/>
        <v/>
      </c>
      <c r="G69" s="14" t="str">
        <f t="shared" si="47"/>
        <v/>
      </c>
      <c r="H69" s="14" t="str">
        <f t="shared" si="48"/>
        <v/>
      </c>
      <c r="I69" s="101" t="str">
        <f t="shared" si="49"/>
        <v/>
      </c>
      <c r="J69" s="16" t="str">
        <f t="shared" si="50"/>
        <v/>
      </c>
      <c r="K69" s="103"/>
      <c r="L69" s="104"/>
      <c r="M69" s="14">
        <f t="shared" si="31"/>
        <v>101.76804068794077</v>
      </c>
      <c r="N69" s="14" t="e">
        <f t="shared" si="9"/>
        <v>#VALUE!</v>
      </c>
      <c r="O69" s="14" t="str">
        <f t="shared" si="51"/>
        <v/>
      </c>
    </row>
    <row r="70" spans="2:15" x14ac:dyDescent="0.35">
      <c r="B70" s="13" t="str">
        <f t="shared" si="43"/>
        <v/>
      </c>
      <c r="C70" s="72" t="str">
        <f t="shared" si="44"/>
        <v/>
      </c>
      <c r="D70" s="73" t="str">
        <f t="shared" si="42"/>
        <v/>
      </c>
      <c r="E70" s="72" t="str">
        <f t="shared" si="45"/>
        <v/>
      </c>
      <c r="F70" s="72" t="str">
        <f t="shared" si="46"/>
        <v/>
      </c>
      <c r="G70" s="14" t="str">
        <f t="shared" si="47"/>
        <v/>
      </c>
      <c r="H70" s="14" t="str">
        <f t="shared" si="48"/>
        <v/>
      </c>
      <c r="I70" s="101" t="str">
        <f t="shared" si="49"/>
        <v/>
      </c>
      <c r="J70" s="16" t="str">
        <f t="shared" si="50"/>
        <v/>
      </c>
      <c r="K70" s="103"/>
      <c r="L70" s="104"/>
      <c r="M70" s="14">
        <f t="shared" si="31"/>
        <v>101.76804068794077</v>
      </c>
      <c r="N70" s="14" t="e">
        <f t="shared" si="9"/>
        <v>#VALUE!</v>
      </c>
      <c r="O70" s="14" t="str">
        <f t="shared" si="51"/>
        <v/>
      </c>
    </row>
    <row r="71" spans="2:15" x14ac:dyDescent="0.35">
      <c r="B71" s="13" t="str">
        <f t="shared" si="43"/>
        <v/>
      </c>
      <c r="C71" s="72" t="str">
        <f t="shared" si="44"/>
        <v/>
      </c>
      <c r="D71" s="73" t="str">
        <f t="shared" si="42"/>
        <v/>
      </c>
      <c r="E71" s="72" t="str">
        <f t="shared" si="45"/>
        <v/>
      </c>
      <c r="F71" s="72" t="str">
        <f t="shared" si="46"/>
        <v/>
      </c>
      <c r="G71" s="14" t="str">
        <f t="shared" si="47"/>
        <v/>
      </c>
      <c r="H71" s="14" t="str">
        <f t="shared" si="48"/>
        <v/>
      </c>
      <c r="I71" s="101" t="str">
        <f t="shared" si="49"/>
        <v/>
      </c>
      <c r="J71" s="16" t="str">
        <f t="shared" si="50"/>
        <v/>
      </c>
      <c r="K71" s="103"/>
      <c r="L71" s="104"/>
      <c r="M71" s="14">
        <f t="shared" si="31"/>
        <v>101.76804068794077</v>
      </c>
      <c r="N71" s="14" t="e">
        <f t="shared" si="9"/>
        <v>#VALUE!</v>
      </c>
      <c r="O71" s="14" t="str">
        <f t="shared" si="51"/>
        <v/>
      </c>
    </row>
    <row r="72" spans="2:15" x14ac:dyDescent="0.35">
      <c r="B72" s="13" t="str">
        <f t="shared" si="43"/>
        <v/>
      </c>
      <c r="C72" s="72" t="str">
        <f t="shared" si="44"/>
        <v/>
      </c>
      <c r="D72" s="73" t="str">
        <f t="shared" si="42"/>
        <v/>
      </c>
      <c r="E72" s="72" t="str">
        <f t="shared" si="45"/>
        <v/>
      </c>
      <c r="F72" s="72" t="str">
        <f t="shared" si="46"/>
        <v/>
      </c>
      <c r="G72" s="14" t="str">
        <f t="shared" si="47"/>
        <v/>
      </c>
      <c r="H72" s="14" t="str">
        <f t="shared" si="48"/>
        <v/>
      </c>
      <c r="I72" s="101" t="str">
        <f t="shared" si="49"/>
        <v/>
      </c>
      <c r="J72" s="16" t="str">
        <f t="shared" si="50"/>
        <v/>
      </c>
      <c r="K72" s="103"/>
      <c r="L72" s="104"/>
      <c r="M72" s="14">
        <f t="shared" si="31"/>
        <v>101.76804068794077</v>
      </c>
      <c r="N72" s="14" t="e">
        <f t="shared" si="9"/>
        <v>#VALUE!</v>
      </c>
      <c r="O72" s="14" t="str">
        <f t="shared" si="51"/>
        <v/>
      </c>
    </row>
    <row r="73" spans="2:15" x14ac:dyDescent="0.35">
      <c r="B73" s="13" t="str">
        <f>IF($D$3&gt;=5,B72+1,"")</f>
        <v/>
      </c>
      <c r="C73" s="72" t="str">
        <f t="shared" si="44"/>
        <v/>
      </c>
      <c r="D73" s="73" t="str">
        <f t="shared" si="42"/>
        <v/>
      </c>
      <c r="E73" s="72" t="str">
        <f t="shared" si="45"/>
        <v/>
      </c>
      <c r="F73" s="72" t="str">
        <f t="shared" si="46"/>
        <v/>
      </c>
      <c r="G73" s="14" t="str">
        <f t="shared" si="47"/>
        <v/>
      </c>
      <c r="H73" s="14" t="str">
        <f t="shared" si="48"/>
        <v/>
      </c>
      <c r="I73" s="101" t="str">
        <f t="shared" si="49"/>
        <v/>
      </c>
      <c r="J73" s="16" t="str">
        <f t="shared" si="50"/>
        <v/>
      </c>
      <c r="K73" s="103"/>
      <c r="L73" s="104"/>
      <c r="M73" s="14">
        <f t="shared" si="31"/>
        <v>101.76804068794077</v>
      </c>
      <c r="N73" s="14" t="e">
        <f t="shared" si="9"/>
        <v>#VALUE!</v>
      </c>
      <c r="O73" s="14" t="str">
        <f t="shared" si="51"/>
        <v/>
      </c>
    </row>
  </sheetData>
  <mergeCells count="3">
    <mergeCell ref="M12:O12"/>
    <mergeCell ref="B1:C1"/>
    <mergeCell ref="B3:C3"/>
  </mergeCells>
  <dataValidations count="1">
    <dataValidation type="whole" allowBlank="1" showInputMessage="1" showErrorMessage="1" promptTitle="Mensaje" prompt="Ingrese solo números enteros entre 1 y 5" sqref="D3" xr:uid="{00000000-0002-0000-0400-000000000000}">
      <formula1>1</formula1>
      <formula2>5</formula2>
    </dataValidation>
  </dataValidations>
  <pageMargins left="0.7" right="0.7" top="0.75" bottom="0.75" header="0.3" footer="0.3"/>
  <pageSetup paperSize="9" orientation="portrait" r:id="rId1"/>
  <ignoredErrors>
    <ignoredError sqref="D62:D73 C62:C73 E62:E73 F62:F73 C6:C7 D6:D7 E6 H6 C8:C10 D8:D10 D3 K5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49"/>
  <sheetViews>
    <sheetView showGridLines="0" zoomScale="85" zoomScaleNormal="80" workbookViewId="0">
      <selection activeCell="E9" sqref="E9"/>
    </sheetView>
  </sheetViews>
  <sheetFormatPr baseColWidth="10" defaultColWidth="10.90625" defaultRowHeight="10.5" x14ac:dyDescent="0.25"/>
  <cols>
    <col min="1" max="1" width="10.90625" style="46"/>
    <col min="2" max="2" width="18.54296875" style="46" customWidth="1"/>
    <col min="3" max="3" width="15.1796875" style="47" customWidth="1"/>
    <col min="4" max="4" width="23.08984375" style="46" bestFit="1" customWidth="1"/>
    <col min="5" max="5" width="30" style="46" customWidth="1"/>
    <col min="6" max="6" width="17.453125" style="46" bestFit="1" customWidth="1"/>
    <col min="7" max="7" width="13.36328125" style="46" customWidth="1"/>
    <col min="8" max="8" width="13.08984375" style="46" bestFit="1" customWidth="1"/>
    <col min="9" max="9" width="15.08984375" style="46" bestFit="1" customWidth="1"/>
    <col min="10" max="16384" width="10.90625" style="46"/>
  </cols>
  <sheetData>
    <row r="2" spans="1:12" s="42" customFormat="1" ht="22.5" customHeight="1" x14ac:dyDescent="0.35"/>
    <row r="3" spans="1:12" s="43" customFormat="1" x14ac:dyDescent="0.35"/>
    <row r="4" spans="1:12" s="48" customFormat="1" x14ac:dyDescent="0.25"/>
    <row r="5" spans="1:12" s="48" customFormat="1" x14ac:dyDescent="0.25">
      <c r="A5" s="44"/>
      <c r="B5" s="43"/>
      <c r="C5" s="49"/>
      <c r="D5" s="43"/>
      <c r="E5" s="43"/>
      <c r="F5" s="43"/>
      <c r="G5" s="43"/>
      <c r="H5" s="43"/>
      <c r="I5" s="43"/>
      <c r="J5" s="43"/>
      <c r="K5" s="43"/>
    </row>
    <row r="6" spans="1:12" x14ac:dyDescent="0.25">
      <c r="G6" s="45"/>
    </row>
    <row r="7" spans="1:12" s="50" customFormat="1" x14ac:dyDescent="0.25"/>
    <row r="8" spans="1:12" ht="27.65" customHeight="1" x14ac:dyDescent="0.25">
      <c r="B8" s="76" t="s">
        <v>14</v>
      </c>
      <c r="C8" s="76" t="s">
        <v>107</v>
      </c>
      <c r="D8" s="76" t="s">
        <v>66</v>
      </c>
      <c r="E8" s="76" t="s">
        <v>86</v>
      </c>
      <c r="F8" s="76" t="s">
        <v>80</v>
      </c>
      <c r="G8" s="76" t="s">
        <v>68</v>
      </c>
      <c r="H8" s="76" t="s">
        <v>69</v>
      </c>
      <c r="I8" s="76" t="s">
        <v>73</v>
      </c>
      <c r="J8" s="76" t="s">
        <v>88</v>
      </c>
      <c r="K8" s="76" t="s">
        <v>89</v>
      </c>
      <c r="L8" s="76" t="s">
        <v>34</v>
      </c>
    </row>
    <row r="9" spans="1:12" ht="81" customHeight="1" x14ac:dyDescent="0.25">
      <c r="B9" s="74">
        <v>4.2000000000000003E-2</v>
      </c>
      <c r="C9" s="52" t="s">
        <v>93</v>
      </c>
      <c r="D9" s="54">
        <v>1</v>
      </c>
      <c r="E9" s="53" t="s">
        <v>194</v>
      </c>
      <c r="F9" s="52" t="s">
        <v>81</v>
      </c>
      <c r="G9" s="53" t="s">
        <v>104</v>
      </c>
      <c r="H9" s="52" t="s">
        <v>123</v>
      </c>
      <c r="I9" s="52" t="s">
        <v>72</v>
      </c>
      <c r="J9" s="52" t="s">
        <v>177</v>
      </c>
      <c r="K9" s="52" t="s">
        <v>165</v>
      </c>
      <c r="L9" s="52" t="s">
        <v>90</v>
      </c>
    </row>
    <row r="10" spans="1:12" ht="63.65" customHeight="1" x14ac:dyDescent="0.25">
      <c r="B10" s="74">
        <v>3.5999999999999997E-2</v>
      </c>
      <c r="C10" s="52" t="s">
        <v>94</v>
      </c>
      <c r="D10" s="55">
        <v>2</v>
      </c>
      <c r="E10" s="75" t="s">
        <v>97</v>
      </c>
      <c r="F10" s="52" t="s">
        <v>82</v>
      </c>
      <c r="G10" s="53" t="s">
        <v>105</v>
      </c>
      <c r="H10" s="52" t="s">
        <v>124</v>
      </c>
      <c r="I10" s="52" t="s">
        <v>79</v>
      </c>
      <c r="J10" s="52" t="s">
        <v>110</v>
      </c>
      <c r="K10" s="52" t="s">
        <v>166</v>
      </c>
      <c r="L10" s="52" t="s">
        <v>92</v>
      </c>
    </row>
    <row r="11" spans="1:12" ht="49.25" customHeight="1" x14ac:dyDescent="0.25">
      <c r="B11" s="74">
        <v>2.9000000000000001E-2</v>
      </c>
      <c r="C11" s="52" t="s">
        <v>95</v>
      </c>
      <c r="D11" s="56">
        <v>3</v>
      </c>
      <c r="E11" s="53" t="s">
        <v>98</v>
      </c>
      <c r="F11" s="52" t="s">
        <v>83</v>
      </c>
      <c r="G11" s="53" t="s">
        <v>106</v>
      </c>
      <c r="H11" s="52" t="s">
        <v>108</v>
      </c>
      <c r="I11" s="52" t="s">
        <v>71</v>
      </c>
      <c r="J11" s="52" t="s">
        <v>109</v>
      </c>
      <c r="K11" s="52"/>
      <c r="L11" s="52" t="s">
        <v>91</v>
      </c>
    </row>
    <row r="14" spans="1:12" x14ac:dyDescent="0.25">
      <c r="A14" s="41"/>
      <c r="C14" s="39"/>
      <c r="D14" s="40"/>
      <c r="E14" s="40"/>
      <c r="F14" s="40"/>
      <c r="G14" s="40"/>
    </row>
    <row r="15" spans="1:12" x14ac:dyDescent="0.25">
      <c r="A15" s="41"/>
      <c r="C15" s="39"/>
      <c r="D15" s="40"/>
      <c r="E15" s="40"/>
      <c r="F15" s="40"/>
      <c r="G15" s="40"/>
    </row>
    <row r="16" spans="1:12" ht="26.4" customHeight="1" x14ac:dyDescent="0.25">
      <c r="A16" s="41"/>
      <c r="B16" s="76" t="s">
        <v>14</v>
      </c>
      <c r="C16" s="76" t="s">
        <v>64</v>
      </c>
      <c r="D16" s="76" t="s">
        <v>67</v>
      </c>
      <c r="E16" s="76" t="s">
        <v>68</v>
      </c>
      <c r="F16" s="76" t="s">
        <v>69</v>
      </c>
      <c r="G16" s="76" t="s">
        <v>73</v>
      </c>
    </row>
    <row r="17" spans="2:7" ht="18" customHeight="1" x14ac:dyDescent="0.25">
      <c r="B17" s="77">
        <v>3.5999999999999997E-2</v>
      </c>
      <c r="C17" s="78" t="s">
        <v>74</v>
      </c>
      <c r="D17" s="78">
        <v>1</v>
      </c>
      <c r="E17" s="78">
        <v>1</v>
      </c>
      <c r="F17" s="78">
        <v>1</v>
      </c>
      <c r="G17" s="78">
        <v>1</v>
      </c>
    </row>
    <row r="18" spans="2:7" s="51" customFormat="1" ht="18" customHeight="1" x14ac:dyDescent="0.25">
      <c r="B18" s="77">
        <v>3.4000000000000002E-2</v>
      </c>
      <c r="C18" s="78" t="s">
        <v>74</v>
      </c>
      <c r="D18" s="78">
        <v>2</v>
      </c>
      <c r="E18" s="78">
        <v>2</v>
      </c>
      <c r="F18" s="78">
        <v>2</v>
      </c>
      <c r="G18" s="78">
        <v>2</v>
      </c>
    </row>
    <row r="19" spans="2:7" ht="18" customHeight="1" x14ac:dyDescent="0.25">
      <c r="B19" s="77">
        <v>3.2000000000000001E-2</v>
      </c>
      <c r="C19" s="78" t="s">
        <v>74</v>
      </c>
      <c r="D19" s="78">
        <v>3</v>
      </c>
      <c r="E19" s="78">
        <v>3</v>
      </c>
      <c r="F19" s="78">
        <v>3</v>
      </c>
      <c r="G19" s="78">
        <v>3</v>
      </c>
    </row>
    <row r="20" spans="2:7" ht="18" customHeight="1" x14ac:dyDescent="0.25">
      <c r="B20" s="77">
        <v>3.5000000000000003E-2</v>
      </c>
      <c r="C20" s="78" t="s">
        <v>76</v>
      </c>
      <c r="D20" s="78">
        <v>1</v>
      </c>
      <c r="E20" s="78">
        <v>1</v>
      </c>
      <c r="F20" s="78">
        <v>1</v>
      </c>
      <c r="G20" s="78">
        <v>1</v>
      </c>
    </row>
    <row r="21" spans="2:7" ht="18" customHeight="1" x14ac:dyDescent="0.25">
      <c r="B21" s="77">
        <v>3.3000000000000002E-2</v>
      </c>
      <c r="C21" s="78" t="s">
        <v>76</v>
      </c>
      <c r="D21" s="78">
        <v>2</v>
      </c>
      <c r="E21" s="78">
        <v>2</v>
      </c>
      <c r="F21" s="78">
        <v>2</v>
      </c>
      <c r="G21" s="78">
        <v>2</v>
      </c>
    </row>
    <row r="22" spans="2:7" ht="18" customHeight="1" x14ac:dyDescent="0.25">
      <c r="B22" s="77">
        <v>3.1E-2</v>
      </c>
      <c r="C22" s="78" t="s">
        <v>76</v>
      </c>
      <c r="D22" s="78">
        <v>3</v>
      </c>
      <c r="E22" s="78">
        <v>3</v>
      </c>
      <c r="F22" s="78">
        <v>3</v>
      </c>
      <c r="G22" s="78">
        <v>3</v>
      </c>
    </row>
    <row r="25" spans="2:7" x14ac:dyDescent="0.25">
      <c r="C25" s="46"/>
    </row>
    <row r="26" spans="2:7" ht="25.25" customHeight="1" x14ac:dyDescent="0.25">
      <c r="B26" s="79" t="s">
        <v>99</v>
      </c>
      <c r="C26" s="79" t="s">
        <v>42</v>
      </c>
    </row>
    <row r="27" spans="2:7" s="51" customFormat="1" ht="18" customHeight="1" x14ac:dyDescent="0.25">
      <c r="B27" s="52" t="s">
        <v>100</v>
      </c>
      <c r="C27" s="80">
        <v>0.1</v>
      </c>
    </row>
    <row r="28" spans="2:7" ht="30" customHeight="1" x14ac:dyDescent="0.25">
      <c r="B28" s="52" t="s">
        <v>101</v>
      </c>
      <c r="C28" s="80">
        <v>0.15</v>
      </c>
    </row>
    <row r="29" spans="2:7" ht="30" customHeight="1" x14ac:dyDescent="0.25">
      <c r="B29" s="52" t="s">
        <v>102</v>
      </c>
      <c r="C29" s="80">
        <v>0.15</v>
      </c>
    </row>
    <row r="30" spans="2:7" ht="30" customHeight="1" x14ac:dyDescent="0.25">
      <c r="B30" s="52" t="s">
        <v>103</v>
      </c>
      <c r="C30" s="80">
        <v>0.18</v>
      </c>
    </row>
    <row r="31" spans="2:7" x14ac:dyDescent="0.25">
      <c r="C31" s="46"/>
    </row>
    <row r="34" spans="2:4" ht="31.25" customHeight="1" x14ac:dyDescent="0.25">
      <c r="B34" s="79" t="s">
        <v>66</v>
      </c>
      <c r="C34" s="76" t="s">
        <v>114</v>
      </c>
      <c r="D34" s="79" t="s">
        <v>115</v>
      </c>
    </row>
    <row r="35" spans="2:4" ht="35" customHeight="1" x14ac:dyDescent="0.25">
      <c r="B35" s="52" t="s">
        <v>111</v>
      </c>
      <c r="C35" s="52" t="s">
        <v>118</v>
      </c>
      <c r="D35" s="52" t="s">
        <v>121</v>
      </c>
    </row>
    <row r="36" spans="2:4" ht="35" customHeight="1" x14ac:dyDescent="0.25">
      <c r="B36" s="52" t="s">
        <v>112</v>
      </c>
      <c r="C36" s="52" t="s">
        <v>117</v>
      </c>
      <c r="D36" s="52" t="s">
        <v>120</v>
      </c>
    </row>
    <row r="37" spans="2:4" ht="35" customHeight="1" x14ac:dyDescent="0.25">
      <c r="B37" s="52" t="s">
        <v>113</v>
      </c>
      <c r="C37" s="52" t="s">
        <v>116</v>
      </c>
      <c r="D37" s="52" t="s">
        <v>119</v>
      </c>
    </row>
    <row r="46" spans="2:4" x14ac:dyDescent="0.25">
      <c r="C46" s="46"/>
    </row>
    <row r="47" spans="2:4" x14ac:dyDescent="0.25">
      <c r="C47" s="46"/>
    </row>
    <row r="48" spans="2:4" x14ac:dyDescent="0.25">
      <c r="C48" s="46"/>
    </row>
    <row r="49" spans="3:3" x14ac:dyDescent="0.25">
      <c r="C49" s="46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"/>
  <sheetViews>
    <sheetView workbookViewId="0">
      <selection activeCell="B3" sqref="B3:B17"/>
    </sheetView>
  </sheetViews>
  <sheetFormatPr baseColWidth="10" defaultRowHeight="14.5" x14ac:dyDescent="0.35"/>
  <sheetData>
    <row r="1" spans="1:2" x14ac:dyDescent="0.35">
      <c r="A1" t="s">
        <v>66</v>
      </c>
    </row>
    <row r="2" spans="1:2" x14ac:dyDescent="0.35">
      <c r="A2">
        <v>1</v>
      </c>
      <c r="B2" t="s">
        <v>4</v>
      </c>
    </row>
    <row r="3" spans="1:2" x14ac:dyDescent="0.35">
      <c r="B3" s="1" t="s">
        <v>0</v>
      </c>
    </row>
    <row r="4" spans="1:2" x14ac:dyDescent="0.35">
      <c r="B4" s="1" t="s">
        <v>1</v>
      </c>
    </row>
    <row r="5" spans="1:2" x14ac:dyDescent="0.35">
      <c r="B5" s="1" t="s">
        <v>2</v>
      </c>
    </row>
    <row r="6" spans="1:2" x14ac:dyDescent="0.35">
      <c r="B6" s="1" t="s">
        <v>3</v>
      </c>
    </row>
    <row r="8" spans="1:2" x14ac:dyDescent="0.35">
      <c r="A8">
        <v>2</v>
      </c>
      <c r="B8" s="1" t="s">
        <v>5</v>
      </c>
    </row>
    <row r="9" spans="1:2" x14ac:dyDescent="0.35">
      <c r="B9" s="1" t="s">
        <v>6</v>
      </c>
    </row>
    <row r="10" spans="1:2" x14ac:dyDescent="0.35">
      <c r="B10" s="1" t="s">
        <v>7</v>
      </c>
    </row>
    <row r="11" spans="1:2" x14ac:dyDescent="0.35">
      <c r="B11" s="1" t="s">
        <v>8</v>
      </c>
    </row>
    <row r="12" spans="1:2" x14ac:dyDescent="0.35">
      <c r="B12" s="1" t="s">
        <v>9</v>
      </c>
    </row>
    <row r="14" spans="1:2" x14ac:dyDescent="0.35">
      <c r="A14">
        <v>3</v>
      </c>
      <c r="B14" s="1" t="s">
        <v>10</v>
      </c>
    </row>
    <row r="15" spans="1:2" x14ac:dyDescent="0.35">
      <c r="B15" s="1" t="s">
        <v>11</v>
      </c>
    </row>
    <row r="16" spans="1:2" x14ac:dyDescent="0.35">
      <c r="B16" s="1" t="s">
        <v>12</v>
      </c>
    </row>
    <row r="17" spans="2:2" x14ac:dyDescent="0.35">
      <c r="B17" s="1" t="s">
        <v>13</v>
      </c>
    </row>
  </sheetData>
  <hyperlinks>
    <hyperlink ref="B9" r:id="rId1" display="https://ec-blog.patiotuerca.com/blog/los-autos-mas-robados-del-2025/" xr:uid="{00000000-0004-0000-0500-000000000000}"/>
  </hyperlinks>
  <pageMargins left="0.7" right="0.7" top="0.75" bottom="0.75" header="0.3" footer="0.3"/>
  <pageSetup paperSize="9" orientation="portrait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9"/>
  <sheetViews>
    <sheetView workbookViewId="0">
      <selection activeCell="B3" sqref="B3:B19"/>
    </sheetView>
  </sheetViews>
  <sheetFormatPr baseColWidth="10" defaultRowHeight="14.5" x14ac:dyDescent="0.35"/>
  <sheetData>
    <row r="1" spans="1:2" x14ac:dyDescent="0.35">
      <c r="A1" t="s">
        <v>66</v>
      </c>
    </row>
    <row r="2" spans="1:2" x14ac:dyDescent="0.35">
      <c r="A2">
        <v>1</v>
      </c>
      <c r="B2" t="s">
        <v>19</v>
      </c>
    </row>
    <row r="3" spans="1:2" x14ac:dyDescent="0.35">
      <c r="B3" s="1" t="s">
        <v>15</v>
      </c>
    </row>
    <row r="4" spans="1:2" x14ac:dyDescent="0.35">
      <c r="B4" s="1" t="s">
        <v>16</v>
      </c>
    </row>
    <row r="5" spans="1:2" x14ac:dyDescent="0.35">
      <c r="B5" s="1" t="s">
        <v>17</v>
      </c>
    </row>
    <row r="6" spans="1:2" x14ac:dyDescent="0.35">
      <c r="B6" s="1" t="s">
        <v>18</v>
      </c>
    </row>
    <row r="8" spans="1:2" x14ac:dyDescent="0.35">
      <c r="A8">
        <v>2</v>
      </c>
      <c r="B8" s="1" t="s">
        <v>5</v>
      </c>
    </row>
    <row r="9" spans="1:2" x14ac:dyDescent="0.35">
      <c r="B9" s="1" t="s">
        <v>20</v>
      </c>
    </row>
    <row r="10" spans="1:2" x14ac:dyDescent="0.35">
      <c r="B10" s="1" t="s">
        <v>21</v>
      </c>
    </row>
    <row r="11" spans="1:2" x14ac:dyDescent="0.35">
      <c r="B11" s="1" t="s">
        <v>22</v>
      </c>
    </row>
    <row r="12" spans="1:2" x14ac:dyDescent="0.35">
      <c r="B12" s="1" t="s">
        <v>23</v>
      </c>
    </row>
    <row r="13" spans="1:2" x14ac:dyDescent="0.35">
      <c r="B13" s="1" t="s">
        <v>28</v>
      </c>
    </row>
    <row r="15" spans="1:2" x14ac:dyDescent="0.35">
      <c r="A15">
        <v>3</v>
      </c>
      <c r="B15" s="1" t="s">
        <v>10</v>
      </c>
    </row>
    <row r="16" spans="1:2" x14ac:dyDescent="0.35">
      <c r="B16" s="1" t="s">
        <v>24</v>
      </c>
    </row>
    <row r="17" spans="2:2" x14ac:dyDescent="0.35">
      <c r="B17" s="1" t="s">
        <v>25</v>
      </c>
    </row>
    <row r="18" spans="2:2" x14ac:dyDescent="0.35">
      <c r="B18" s="1" t="s">
        <v>26</v>
      </c>
    </row>
    <row r="19" spans="2:2" x14ac:dyDescent="0.35">
      <c r="B19" s="1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E4"/>
  <sheetViews>
    <sheetView workbookViewId="0">
      <selection activeCell="C3" sqref="C3"/>
    </sheetView>
  </sheetViews>
  <sheetFormatPr baseColWidth="10" defaultRowHeight="14.5" x14ac:dyDescent="0.35"/>
  <sheetData>
    <row r="2" spans="2:5" x14ac:dyDescent="0.35">
      <c r="B2" t="s">
        <v>66</v>
      </c>
    </row>
    <row r="3" spans="2:5" x14ac:dyDescent="0.35">
      <c r="B3">
        <v>1</v>
      </c>
      <c r="C3" t="s">
        <v>29</v>
      </c>
      <c r="D3" s="2">
        <v>0.85</v>
      </c>
      <c r="E3" t="s">
        <v>31</v>
      </c>
    </row>
    <row r="4" spans="2:5" x14ac:dyDescent="0.35">
      <c r="B4">
        <v>2</v>
      </c>
      <c r="C4" t="s">
        <v>30</v>
      </c>
      <c r="D4" s="2">
        <v>0.15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3:D5"/>
  <sheetViews>
    <sheetView workbookViewId="0">
      <selection activeCell="C4" sqref="C4"/>
    </sheetView>
  </sheetViews>
  <sheetFormatPr baseColWidth="10" defaultRowHeight="14.5" x14ac:dyDescent="0.35"/>
  <sheetData>
    <row r="3" spans="3:4" x14ac:dyDescent="0.35">
      <c r="C3">
        <v>3</v>
      </c>
      <c r="D3" t="s">
        <v>71</v>
      </c>
    </row>
    <row r="4" spans="3:4" x14ac:dyDescent="0.35">
      <c r="C4">
        <v>2</v>
      </c>
      <c r="D4" t="s">
        <v>70</v>
      </c>
    </row>
    <row r="5" spans="3:4" x14ac:dyDescent="0.35">
      <c r="C5">
        <v>1</v>
      </c>
      <c r="D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TARIFICACIÓN</vt:lpstr>
      <vt:lpstr>COTIZACIÓN</vt:lpstr>
      <vt:lpstr>MODELO MENSUALIZADO</vt:lpstr>
      <vt:lpstr>PARAMETRIZACIÓN</vt:lpstr>
      <vt:lpstr>RIESGO - MARCAS</vt:lpstr>
      <vt:lpstr>RIESGO - CIUDADES</vt:lpstr>
      <vt:lpstr>RIESGO - GENERO</vt:lpstr>
      <vt:lpstr>USO DEL VH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GADMINISTRATIVO</dc:creator>
  <cp:lastModifiedBy>GADMINISTRATIVO</cp:lastModifiedBy>
  <cp:lastPrinted>2026-07-23T22:45:01Z</cp:lastPrinted>
  <dcterms:created xsi:type="dcterms:W3CDTF">2026-06-12T18:14:18Z</dcterms:created>
  <dcterms:modified xsi:type="dcterms:W3CDTF">2026-07-27T15:29:35Z</dcterms:modified>
</cp:coreProperties>
</file>
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NFIA-ASESOR\Google Drive\1 SGC_2016\A. GESTION COMERCIAL\A. GESTION COMERCIAL\PROCESO UNINOVA 2018\"/>
    </mc:Choice>
  </mc:AlternateContent>
  <bookViews>
    <workbookView xWindow="0" yWindow="0" windowWidth="20490" windowHeight="7620" activeTab="1"/>
  </bookViews>
  <sheets>
    <sheet name="tradicional (cálculo)" sheetId="1" r:id="rId1"/>
    <sheet name="nuevo (cálculo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P24" i="1" l="1"/>
  <c r="L24" i="1"/>
  <c r="D23" i="1"/>
  <c r="D39" i="1" s="1"/>
  <c r="P3" i="1"/>
  <c r="L3" i="1"/>
  <c r="H3" i="1"/>
  <c r="D2" i="1"/>
  <c r="D26" i="1"/>
  <c r="D5" i="1"/>
  <c r="H5" i="1" l="1"/>
  <c r="L5" i="1" s="1"/>
  <c r="P5" i="1" s="1"/>
  <c r="H26" i="1"/>
  <c r="D6" i="2"/>
  <c r="F50" i="2"/>
  <c r="F51" i="2"/>
  <c r="F52" i="2"/>
  <c r="F53" i="2"/>
  <c r="F54" i="2"/>
  <c r="F55" i="2"/>
  <c r="F56" i="2"/>
  <c r="F57" i="2"/>
  <c r="F58" i="2"/>
  <c r="F59" i="2"/>
  <c r="F60" i="2"/>
  <c r="F49" i="2"/>
  <c r="F38" i="2"/>
  <c r="F39" i="2"/>
  <c r="F40" i="2"/>
  <c r="F41" i="2"/>
  <c r="F42" i="2"/>
  <c r="F43" i="2"/>
  <c r="F44" i="2"/>
  <c r="F45" i="2"/>
  <c r="F46" i="2"/>
  <c r="F47" i="2"/>
  <c r="F48" i="2"/>
  <c r="F37" i="2"/>
  <c r="F26" i="2"/>
  <c r="F27" i="2"/>
  <c r="F28" i="2"/>
  <c r="F29" i="2"/>
  <c r="F30" i="2"/>
  <c r="F31" i="2"/>
  <c r="F32" i="2"/>
  <c r="F33" i="2"/>
  <c r="F34" i="2"/>
  <c r="F35" i="2"/>
  <c r="F36" i="2"/>
  <c r="F25" i="2"/>
  <c r="L26" i="1" l="1"/>
  <c r="P26" i="1" s="1"/>
  <c r="H31" i="1"/>
  <c r="L31" i="1"/>
  <c r="P31" i="1"/>
  <c r="A25" i="2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F24" i="2" l="1"/>
  <c r="F23" i="2"/>
  <c r="F22" i="2"/>
  <c r="F21" i="2"/>
  <c r="F20" i="2"/>
  <c r="F19" i="2"/>
  <c r="F18" i="2"/>
  <c r="F17" i="2"/>
  <c r="F16" i="2"/>
  <c r="F15" i="2"/>
  <c r="F14" i="2"/>
  <c r="F13" i="2"/>
  <c r="D31" i="1" s="1"/>
  <c r="D18" i="1"/>
  <c r="C7" i="2"/>
  <c r="B25" i="2" s="1"/>
  <c r="B13" i="2"/>
  <c r="C13" i="2" s="1"/>
  <c r="D13" i="2" l="1"/>
  <c r="D7" i="2"/>
  <c r="E7" i="2" s="1"/>
  <c r="B26" i="2" s="1"/>
  <c r="B27" i="2" s="1"/>
  <c r="E6" i="2"/>
  <c r="E13" i="2"/>
  <c r="B14" i="2" l="1"/>
  <c r="C14" i="2" s="1"/>
  <c r="C8" i="2"/>
  <c r="B37" i="2" s="1"/>
  <c r="G13" i="2"/>
  <c r="H13" i="2" s="1"/>
  <c r="I13" i="2" s="1"/>
  <c r="C25" i="2"/>
  <c r="D7" i="1"/>
  <c r="D9" i="1" s="1"/>
  <c r="H7" i="1"/>
  <c r="E14" i="2" l="1"/>
  <c r="D8" i="2"/>
  <c r="E8" i="2" s="1"/>
  <c r="D14" i="2"/>
  <c r="D25" i="2"/>
  <c r="E25" i="2"/>
  <c r="C26" i="2"/>
  <c r="B15" i="2"/>
  <c r="P7" i="1"/>
  <c r="P8" i="1" s="1"/>
  <c r="H9" i="1"/>
  <c r="H8" i="1"/>
  <c r="D8" i="1"/>
  <c r="D11" i="1" s="1"/>
  <c r="G14" i="2" l="1"/>
  <c r="H14" i="2" s="1"/>
  <c r="I14" i="2" s="1"/>
  <c r="C9" i="2"/>
  <c r="B38" i="2"/>
  <c r="B39" i="2" s="1"/>
  <c r="B40" i="2" s="1"/>
  <c r="C37" i="2"/>
  <c r="G25" i="2"/>
  <c r="H25" i="2" s="1"/>
  <c r="I25" i="2" s="1"/>
  <c r="C27" i="2"/>
  <c r="B28" i="2"/>
  <c r="E26" i="2"/>
  <c r="D26" i="2"/>
  <c r="B16" i="2"/>
  <c r="C15" i="2"/>
  <c r="P9" i="1"/>
  <c r="P11" i="1" s="1"/>
  <c r="L7" i="1"/>
  <c r="L8" i="1" s="1"/>
  <c r="H11" i="1"/>
  <c r="H12" i="1" s="1"/>
  <c r="H13" i="1" s="1"/>
  <c r="H14" i="1" s="1"/>
  <c r="D12" i="1"/>
  <c r="D13" i="1" s="1"/>
  <c r="E37" i="2" l="1"/>
  <c r="D9" i="2"/>
  <c r="E9" i="2" s="1"/>
  <c r="B49" i="2"/>
  <c r="C38" i="2"/>
  <c r="D38" i="2" s="1"/>
  <c r="G26" i="2"/>
  <c r="H26" i="2" s="1"/>
  <c r="I26" i="2" s="1"/>
  <c r="D37" i="2"/>
  <c r="B29" i="2"/>
  <c r="C28" i="2"/>
  <c r="C39" i="2"/>
  <c r="D27" i="2"/>
  <c r="E27" i="2"/>
  <c r="D15" i="2"/>
  <c r="E15" i="2"/>
  <c r="B17" i="2"/>
  <c r="C16" i="2"/>
  <c r="L9" i="1"/>
  <c r="L11" i="1" s="1"/>
  <c r="D14" i="1"/>
  <c r="P12" i="1"/>
  <c r="P13" i="1" s="1"/>
  <c r="P14" i="1" s="1"/>
  <c r="G37" i="2" l="1"/>
  <c r="H37" i="2" s="1"/>
  <c r="I37" i="2" s="1"/>
  <c r="E38" i="2"/>
  <c r="G38" i="2" s="1"/>
  <c r="H38" i="2" s="1"/>
  <c r="I38" i="2" s="1"/>
  <c r="G27" i="2"/>
  <c r="H27" i="2" s="1"/>
  <c r="I27" i="2" s="1"/>
  <c r="B41" i="2"/>
  <c r="C40" i="2"/>
  <c r="B30" i="2"/>
  <c r="C29" i="2"/>
  <c r="E39" i="2"/>
  <c r="D39" i="2"/>
  <c r="D28" i="2"/>
  <c r="E28" i="2"/>
  <c r="G15" i="2"/>
  <c r="H15" i="2" s="1"/>
  <c r="I15" i="2" s="1"/>
  <c r="B18" i="2"/>
  <c r="C17" i="2"/>
  <c r="E16" i="2"/>
  <c r="D16" i="2"/>
  <c r="L12" i="1"/>
  <c r="L13" i="1" s="1"/>
  <c r="F16" i="1" s="1"/>
  <c r="F18" i="1" s="1"/>
  <c r="G28" i="2" l="1"/>
  <c r="H28" i="2" s="1"/>
  <c r="I28" i="2" s="1"/>
  <c r="G39" i="2"/>
  <c r="H39" i="2" s="1"/>
  <c r="I39" i="2" s="1"/>
  <c r="E29" i="2"/>
  <c r="D29" i="2"/>
  <c r="E40" i="2"/>
  <c r="D40" i="2"/>
  <c r="B31" i="2"/>
  <c r="C30" i="2"/>
  <c r="B42" i="2"/>
  <c r="C41" i="2"/>
  <c r="G16" i="2"/>
  <c r="H16" i="2" s="1"/>
  <c r="I16" i="2" s="1"/>
  <c r="D17" i="2"/>
  <c r="E17" i="2"/>
  <c r="B19" i="2"/>
  <c r="C18" i="2"/>
  <c r="L14" i="1"/>
  <c r="G29" i="2" l="1"/>
  <c r="H29" i="2" s="1"/>
  <c r="I29" i="2" s="1"/>
  <c r="G40" i="2"/>
  <c r="H40" i="2" s="1"/>
  <c r="I40" i="2" s="1"/>
  <c r="E41" i="2"/>
  <c r="D41" i="2"/>
  <c r="D30" i="2"/>
  <c r="E30" i="2"/>
  <c r="B43" i="2"/>
  <c r="C42" i="2"/>
  <c r="B32" i="2"/>
  <c r="C31" i="2"/>
  <c r="B20" i="2"/>
  <c r="C19" i="2"/>
  <c r="D18" i="2"/>
  <c r="E18" i="2"/>
  <c r="G17" i="2"/>
  <c r="H17" i="2" s="1"/>
  <c r="I17" i="2" s="1"/>
  <c r="G41" i="2" l="1"/>
  <c r="H41" i="2" s="1"/>
  <c r="I41" i="2" s="1"/>
  <c r="B33" i="2"/>
  <c r="C32" i="2"/>
  <c r="B44" i="2"/>
  <c r="C43" i="2"/>
  <c r="D31" i="2"/>
  <c r="E31" i="2"/>
  <c r="E42" i="2"/>
  <c r="D42" i="2"/>
  <c r="G30" i="2"/>
  <c r="H30" i="2" s="1"/>
  <c r="I30" i="2" s="1"/>
  <c r="D19" i="2"/>
  <c r="E19" i="2"/>
  <c r="B21" i="2"/>
  <c r="C20" i="2"/>
  <c r="G18" i="2"/>
  <c r="H18" i="2" s="1"/>
  <c r="I18" i="2" s="1"/>
  <c r="G42" i="2" l="1"/>
  <c r="H42" i="2" s="1"/>
  <c r="I42" i="2" s="1"/>
  <c r="G31" i="2"/>
  <c r="H31" i="2" s="1"/>
  <c r="I31" i="2" s="1"/>
  <c r="E43" i="2"/>
  <c r="D43" i="2"/>
  <c r="E32" i="2"/>
  <c r="D32" i="2"/>
  <c r="B45" i="2"/>
  <c r="C44" i="2"/>
  <c r="C33" i="2"/>
  <c r="B34" i="2"/>
  <c r="G19" i="2"/>
  <c r="H19" i="2" s="1"/>
  <c r="I19" i="2" s="1"/>
  <c r="D20" i="2"/>
  <c r="E20" i="2"/>
  <c r="B22" i="2"/>
  <c r="C21" i="2"/>
  <c r="G32" i="2" l="1"/>
  <c r="H32" i="2" s="1"/>
  <c r="I32" i="2" s="1"/>
  <c r="G43" i="2"/>
  <c r="H43" i="2" s="1"/>
  <c r="I43" i="2" s="1"/>
  <c r="B35" i="2"/>
  <c r="C34" i="2"/>
  <c r="E44" i="2"/>
  <c r="D44" i="2"/>
  <c r="D33" i="2"/>
  <c r="E33" i="2"/>
  <c r="B46" i="2"/>
  <c r="B47" i="2" s="1"/>
  <c r="B48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C45" i="2"/>
  <c r="G20" i="2"/>
  <c r="H20" i="2" s="1"/>
  <c r="I20" i="2" s="1"/>
  <c r="E21" i="2"/>
  <c r="D21" i="2"/>
  <c r="B23" i="2"/>
  <c r="C22" i="2"/>
  <c r="G33" i="2" l="1"/>
  <c r="H33" i="2" s="1"/>
  <c r="I33" i="2" s="1"/>
  <c r="G44" i="2"/>
  <c r="H44" i="2" s="1"/>
  <c r="I44" i="2" s="1"/>
  <c r="E45" i="2"/>
  <c r="D45" i="2"/>
  <c r="E34" i="2"/>
  <c r="D34" i="2"/>
  <c r="C46" i="2"/>
  <c r="C35" i="2"/>
  <c r="B36" i="2"/>
  <c r="C36" i="2" s="1"/>
  <c r="B24" i="2"/>
  <c r="C24" i="2" s="1"/>
  <c r="C23" i="2"/>
  <c r="D22" i="2"/>
  <c r="E22" i="2"/>
  <c r="G21" i="2"/>
  <c r="H21" i="2" s="1"/>
  <c r="I21" i="2" s="1"/>
  <c r="G45" i="2" l="1"/>
  <c r="H45" i="2" s="1"/>
  <c r="I45" i="2" s="1"/>
  <c r="D28" i="1"/>
  <c r="H28" i="1"/>
  <c r="G34" i="2"/>
  <c r="H34" i="2" s="1"/>
  <c r="I34" i="2" s="1"/>
  <c r="G22" i="2"/>
  <c r="H22" i="2" s="1"/>
  <c r="I22" i="2" s="1"/>
  <c r="E36" i="2"/>
  <c r="D36" i="2"/>
  <c r="E46" i="2"/>
  <c r="D46" i="2"/>
  <c r="D35" i="2"/>
  <c r="E35" i="2"/>
  <c r="C47" i="2"/>
  <c r="D23" i="2"/>
  <c r="E23" i="2"/>
  <c r="E24" i="2"/>
  <c r="D24" i="2"/>
  <c r="G46" i="2" l="1"/>
  <c r="H46" i="2" s="1"/>
  <c r="I46" i="2" s="1"/>
  <c r="G36" i="2"/>
  <c r="H36" i="2" s="1"/>
  <c r="I36" i="2" s="1"/>
  <c r="H29" i="1"/>
  <c r="H30" i="1"/>
  <c r="D29" i="1"/>
  <c r="D30" i="1"/>
  <c r="G35" i="2"/>
  <c r="H35" i="2" s="1"/>
  <c r="I35" i="2" s="1"/>
  <c r="C48" i="2"/>
  <c r="E47" i="2"/>
  <c r="D47" i="2"/>
  <c r="G24" i="2"/>
  <c r="H24" i="2" s="1"/>
  <c r="I24" i="2" s="1"/>
  <c r="G23" i="2"/>
  <c r="H23" i="2" s="1"/>
  <c r="I23" i="2" s="1"/>
  <c r="L28" i="1" l="1"/>
  <c r="L30" i="1" s="1"/>
  <c r="H32" i="1"/>
  <c r="H33" i="1" s="1"/>
  <c r="H34" i="1" s="1"/>
  <c r="D32" i="1"/>
  <c r="D33" i="1" s="1"/>
  <c r="D34" i="1" s="1"/>
  <c r="G47" i="2"/>
  <c r="H47" i="2" s="1"/>
  <c r="I47" i="2" s="1"/>
  <c r="E48" i="2"/>
  <c r="D48" i="2"/>
  <c r="C49" i="2"/>
  <c r="L29" i="1" l="1"/>
  <c r="L32" i="1" s="1"/>
  <c r="L33" i="1" s="1"/>
  <c r="L34" i="1" s="1"/>
  <c r="L35" i="1" s="1"/>
  <c r="H35" i="1"/>
  <c r="G48" i="2"/>
  <c r="H48" i="2" s="1"/>
  <c r="I48" i="2" s="1"/>
  <c r="D35" i="1"/>
  <c r="C50" i="2"/>
  <c r="D49" i="2"/>
  <c r="E49" i="2"/>
  <c r="G49" i="2" l="1"/>
  <c r="H49" i="2" s="1"/>
  <c r="I49" i="2" s="1"/>
  <c r="E50" i="2"/>
  <c r="D50" i="2"/>
  <c r="C51" i="2"/>
  <c r="G50" i="2" l="1"/>
  <c r="H50" i="2" s="1"/>
  <c r="I50" i="2" s="1"/>
  <c r="C52" i="2"/>
  <c r="D51" i="2"/>
  <c r="E51" i="2"/>
  <c r="G51" i="2" l="1"/>
  <c r="H51" i="2" s="1"/>
  <c r="I51" i="2" s="1"/>
  <c r="D52" i="2"/>
  <c r="E52" i="2"/>
  <c r="C53" i="2"/>
  <c r="E53" i="2" s="1"/>
  <c r="G52" i="2" l="1"/>
  <c r="H52" i="2" s="1"/>
  <c r="I52" i="2" s="1"/>
  <c r="C54" i="2"/>
  <c r="D53" i="2"/>
  <c r="C55" i="2" l="1"/>
  <c r="G53" i="2"/>
  <c r="H53" i="2" s="1"/>
  <c r="I53" i="2" s="1"/>
  <c r="E54" i="2"/>
  <c r="D54" i="2"/>
  <c r="G54" i="2" l="1"/>
  <c r="H54" i="2" s="1"/>
  <c r="I54" i="2" s="1"/>
  <c r="D55" i="2"/>
  <c r="E55" i="2"/>
  <c r="C56" i="2"/>
  <c r="G55" i="2" l="1"/>
  <c r="H55" i="2" s="1"/>
  <c r="I55" i="2" s="1"/>
  <c r="D56" i="2"/>
  <c r="E56" i="2"/>
  <c r="C57" i="2"/>
  <c r="G56" i="2" l="1"/>
  <c r="H56" i="2" s="1"/>
  <c r="I56" i="2" s="1"/>
  <c r="C58" i="2"/>
  <c r="D57" i="2"/>
  <c r="E57" i="2"/>
  <c r="G57" i="2" l="1"/>
  <c r="H57" i="2" s="1"/>
  <c r="I57" i="2" s="1"/>
  <c r="D58" i="2"/>
  <c r="E58" i="2"/>
  <c r="C60" i="2"/>
  <c r="C59" i="2"/>
  <c r="P28" i="1" l="1"/>
  <c r="P29" i="1" s="1"/>
  <c r="G58" i="2"/>
  <c r="H58" i="2" s="1"/>
  <c r="I58" i="2" s="1"/>
  <c r="D60" i="2"/>
  <c r="E60" i="2"/>
  <c r="D59" i="2"/>
  <c r="E59" i="2"/>
  <c r="P30" i="1" l="1"/>
  <c r="P32" i="1" s="1"/>
  <c r="P33" i="1" s="1"/>
  <c r="P34" i="1" s="1"/>
  <c r="G60" i="2"/>
  <c r="H60" i="2" s="1"/>
  <c r="I60" i="2" s="1"/>
  <c r="G59" i="2"/>
  <c r="H59" i="2" s="1"/>
  <c r="I59" i="2" s="1"/>
  <c r="I61" i="2" l="1"/>
  <c r="I5" i="2"/>
  <c r="K45" i="2" s="1"/>
  <c r="L45" i="2" s="1"/>
  <c r="P35" i="1"/>
  <c r="F37" i="1"/>
  <c r="F39" i="1" s="1"/>
  <c r="K60" i="2" l="1"/>
  <c r="L60" i="2" s="1"/>
  <c r="K47" i="2"/>
  <c r="L47" i="2" s="1"/>
  <c r="K13" i="2"/>
  <c r="L13" i="2" s="1"/>
  <c r="K35" i="2"/>
  <c r="L35" i="2" s="1"/>
  <c r="K24" i="2"/>
  <c r="L24" i="2" s="1"/>
  <c r="K57" i="2"/>
  <c r="L57" i="2" s="1"/>
  <c r="K55" i="2"/>
  <c r="L55" i="2" s="1"/>
  <c r="K42" i="2"/>
  <c r="L42" i="2" s="1"/>
  <c r="K28" i="2"/>
  <c r="L28" i="2" s="1"/>
  <c r="K22" i="2"/>
  <c r="L22" i="2" s="1"/>
  <c r="K25" i="2"/>
  <c r="L25" i="2" s="1"/>
  <c r="K59" i="2"/>
  <c r="L59" i="2" s="1"/>
  <c r="K21" i="2"/>
  <c r="L21" i="2" s="1"/>
  <c r="K49" i="2"/>
  <c r="L49" i="2" s="1"/>
  <c r="K37" i="2"/>
  <c r="L37" i="2" s="1"/>
  <c r="K33" i="2"/>
  <c r="L33" i="2" s="1"/>
  <c r="K50" i="2"/>
  <c r="L50" i="2" s="1"/>
  <c r="K17" i="2"/>
  <c r="L17" i="2" s="1"/>
  <c r="K39" i="2"/>
  <c r="L39" i="2" s="1"/>
  <c r="K26" i="2"/>
  <c r="L26" i="2" s="1"/>
  <c r="K51" i="2"/>
  <c r="L51" i="2" s="1"/>
  <c r="K41" i="2"/>
  <c r="L41" i="2" s="1"/>
  <c r="K52" i="2"/>
  <c r="L52" i="2" s="1"/>
  <c r="K43" i="2"/>
  <c r="L43" i="2" s="1"/>
  <c r="K46" i="2"/>
  <c r="L46" i="2" s="1"/>
  <c r="K44" i="2"/>
  <c r="L44" i="2" s="1"/>
  <c r="K38" i="2"/>
  <c r="L38" i="2" s="1"/>
  <c r="K31" i="2"/>
  <c r="L31" i="2" s="1"/>
  <c r="K34" i="2"/>
  <c r="L34" i="2" s="1"/>
  <c r="K48" i="2"/>
  <c r="L48" i="2" s="1"/>
  <c r="K23" i="2"/>
  <c r="L23" i="2" s="1"/>
  <c r="K54" i="2"/>
  <c r="L54" i="2" s="1"/>
  <c r="K20" i="2"/>
  <c r="L20" i="2" s="1"/>
  <c r="K14" i="2"/>
  <c r="L14" i="2" s="1"/>
  <c r="K29" i="2"/>
  <c r="L29" i="2" s="1"/>
  <c r="K19" i="2"/>
  <c r="L19" i="2" s="1"/>
  <c r="K40" i="2"/>
  <c r="L40" i="2" s="1"/>
  <c r="K36" i="2"/>
  <c r="L36" i="2" s="1"/>
  <c r="K27" i="2"/>
  <c r="L27" i="2" s="1"/>
  <c r="K30" i="2"/>
  <c r="L30" i="2" s="1"/>
  <c r="K53" i="2"/>
  <c r="L53" i="2" s="1"/>
  <c r="K56" i="2"/>
  <c r="L56" i="2" s="1"/>
  <c r="K15" i="2"/>
  <c r="L15" i="2" s="1"/>
  <c r="K18" i="2"/>
  <c r="L18" i="2" s="1"/>
  <c r="K32" i="2"/>
  <c r="L32" i="2" s="1"/>
  <c r="K58" i="2"/>
  <c r="L58" i="2" s="1"/>
  <c r="K16" i="2"/>
  <c r="L16" i="2" s="1"/>
  <c r="M13" i="2" l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K61" i="2"/>
  <c r="L61" i="2" s="1"/>
  <c r="M37" i="2" l="1"/>
  <c r="M38" i="2" l="1"/>
  <c r="M39" i="2" l="1"/>
  <c r="M40" i="2" l="1"/>
  <c r="M41" i="2" l="1"/>
  <c r="M42" i="2" l="1"/>
  <c r="M43" i="2" l="1"/>
  <c r="M44" i="2" l="1"/>
  <c r="M45" i="2" l="1"/>
  <c r="M46" i="2" l="1"/>
  <c r="M47" i="2" l="1"/>
  <c r="M48" i="2" l="1"/>
  <c r="M49" i="2" l="1"/>
  <c r="M50" i="2" l="1"/>
  <c r="M51" i="2" l="1"/>
  <c r="M52" i="2" l="1"/>
  <c r="M53" i="2" l="1"/>
  <c r="M54" i="2" l="1"/>
  <c r="M55" i="2" l="1"/>
  <c r="M56" i="2" l="1"/>
  <c r="M57" i="2" l="1"/>
  <c r="M58" i="2" l="1"/>
  <c r="M59" i="2" l="1"/>
  <c r="M60" i="2" s="1"/>
</calcChain>
</file>

<file path=xl/sharedStrings.xml><?xml version="1.0" encoding="utf-8"?>
<sst xmlns="http://schemas.openxmlformats.org/spreadsheetml/2006/main" count="125" uniqueCount="41">
  <si>
    <t>VALOR ASEGURADO</t>
  </si>
  <si>
    <t>TASA</t>
  </si>
  <si>
    <t>PRIMA NETA</t>
  </si>
  <si>
    <t>SUPER DE BANCOS</t>
  </si>
  <si>
    <t>SEGURO CAMPESINO</t>
  </si>
  <si>
    <t>DERECHOS DE EMISIÓN</t>
  </si>
  <si>
    <t>SUBTOTAL</t>
  </si>
  <si>
    <t xml:space="preserve">IVA </t>
  </si>
  <si>
    <t>PRIMA TOTAL</t>
  </si>
  <si>
    <t>1er AÑO</t>
  </si>
  <si>
    <t>CÁLCULO DE PRIMAS DE SEGUROS (TRADICIONAL)</t>
  </si>
  <si>
    <t>VALOR DE SEGURO POR 4 AÑOS:</t>
  </si>
  <si>
    <t>PLAZO DE CRÉDITO</t>
  </si>
  <si>
    <t>CUOTA FIJA PROMEDIO</t>
  </si>
  <si>
    <t>1er. Año</t>
  </si>
  <si>
    <t>2do. Año</t>
  </si>
  <si>
    <t>3er. Año</t>
  </si>
  <si>
    <t>4to. Año</t>
  </si>
  <si>
    <t>AÑOS</t>
  </si>
  <si>
    <t>VALOR ANUAL  DE DEPRECIACIÓN</t>
  </si>
  <si>
    <t>VALORES ASEGURADOS</t>
  </si>
  <si>
    <t xml:space="preserve">2do AÑO </t>
  </si>
  <si>
    <t>Depreciación</t>
  </si>
  <si>
    <t xml:space="preserve">3er AÑO </t>
  </si>
  <si>
    <t xml:space="preserve">4to. AÑO </t>
  </si>
  <si>
    <t>VALOR ANUAL  DE DEPRECIACIÓN MENSUAL</t>
  </si>
  <si>
    <t>MES</t>
  </si>
  <si>
    <t xml:space="preserve">NIVELACIÓN </t>
  </si>
  <si>
    <t>DIFERENCIA</t>
  </si>
  <si>
    <t>NIVELACIÓN ACUMULADA</t>
  </si>
  <si>
    <t>DEPRECIACIÓN</t>
  </si>
  <si>
    <t>AÑOS DE VIGENCIA</t>
  </si>
  <si>
    <t>PRIMA NETA MES</t>
  </si>
  <si>
    <t>PRIMA TOTAL MES
(COSTO REAL)</t>
  </si>
  <si>
    <t>CUOTA FIJA</t>
  </si>
  <si>
    <t>CUOTA FIJA
(pago cliente)</t>
  </si>
  <si>
    <t>CÁLCULO DE PRIMAS DE SEGUROS (NUEVO MODELO)</t>
  </si>
  <si>
    <t>NOMBRE DEL ASEGURADO:</t>
  </si>
  <si>
    <t>HORNA GONZALES JEYDY ESTHER</t>
  </si>
  <si>
    <t xml:space="preserve">VEHICULO: </t>
  </si>
  <si>
    <t>GREAT 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</si>
</sst>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;[Red]&quot;$&quot;\-#,##0"/>
    <numFmt numFmtId="165" formatCode="_ &quot;$&quot;* #,##0.00_ ;_ &quot;$&quot;* \-#,##0.00_ ;_ &quot;$&quot;* &quot;-&quot;??_ ;_ @_ "/>
    <numFmt numFmtId="166" formatCode="_ * #,##0.00_ ;_ * \-#,##0.00_ ;_ * &quot;-&quot;??_ ;_ @_ "/>
    <numFmt numFmtId="167" formatCode="_(* #,##0.00_);_(* \(#,##0.00\);_(* &quot;-&quot;??_);_(@_)"/>
    <numFmt numFmtId="168" formatCode="_ * #,##0_ ;_ * \-#,##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1">
    <xf numFmtId="0" fontId="0" fillId="0" borderId="0" xfId="0"/>
    <xf numFmtId="165" fontId="0" fillId="0" borderId="0" xfId="1" applyFont="1"/>
    <xf numFmtId="0" fontId="3" fillId="0" borderId="0" xfId="0" applyFont="1"/>
    <xf numFmtId="0" fontId="0" fillId="0" borderId="0" xfId="0" applyAlignment="1">
      <alignment horizontal="right"/>
    </xf>
    <xf numFmtId="165" fontId="0" fillId="0" borderId="1" xfId="1" applyFont="1" applyBorder="1"/>
    <xf numFmtId="0" fontId="6" fillId="0" borderId="1" xfId="0" applyFont="1" applyBorder="1"/>
    <xf numFmtId="165" fontId="0" fillId="0" borderId="0" xfId="1" applyFont="1" applyBorder="1"/>
    <xf numFmtId="0" fontId="0" fillId="0" borderId="0" xfId="0" applyBorder="1"/>
    <xf numFmtId="165" fontId="5" fillId="3" borderId="1" xfId="1" applyFont="1" applyFill="1" applyBorder="1"/>
    <xf numFmtId="165" fontId="5" fillId="4" borderId="1" xfId="1" applyFont="1" applyFill="1" applyBorder="1"/>
    <xf numFmtId="10" fontId="8" fillId="0" borderId="1" xfId="0" applyNumberFormat="1" applyFont="1" applyBorder="1" applyAlignment="1">
      <alignment horizontal="right"/>
    </xf>
    <xf numFmtId="164" fontId="8" fillId="0" borderId="1" xfId="1" applyNumberFormat="1" applyFont="1" applyBorder="1" applyAlignment="1">
      <alignment horizontal="right"/>
    </xf>
    <xf numFmtId="165" fontId="4" fillId="0" borderId="0" xfId="1" applyFont="1" applyBorder="1" applyAlignment="1">
      <alignment vertical="center"/>
    </xf>
    <xf numFmtId="165" fontId="2" fillId="2" borderId="1" xfId="0" applyNumberFormat="1" applyFont="1" applyFill="1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165" fontId="0" fillId="0" borderId="0" xfId="1" applyFont="1" applyAlignment="1">
      <alignment vertical="center"/>
    </xf>
    <xf numFmtId="165" fontId="0" fillId="0" borderId="0" xfId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65" fontId="9" fillId="5" borderId="1" xfId="0" applyNumberFormat="1" applyFont="1" applyFill="1" applyBorder="1" applyAlignment="1">
      <alignment vertical="center"/>
    </xf>
    <xf numFmtId="0" fontId="2" fillId="3" borderId="4" xfId="0" applyFont="1" applyFill="1" applyBorder="1" applyAlignment="1"/>
    <xf numFmtId="9" fontId="2" fillId="3" borderId="3" xfId="0" applyNumberFormat="1" applyFont="1" applyFill="1" applyBorder="1" applyAlignment="1"/>
    <xf numFmtId="0" fontId="2" fillId="3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9" fontId="2" fillId="4" borderId="0" xfId="1" applyNumberFormat="1" applyFont="1" applyFill="1"/>
    <xf numFmtId="0" fontId="10" fillId="0" borderId="0" xfId="0" applyFont="1" applyAlignment="1">
      <alignment horizontal="center" vertical="center"/>
    </xf>
    <xf numFmtId="165" fontId="0" fillId="0" borderId="1" xfId="1" applyFont="1" applyBorder="1" applyAlignment="1" applyProtection="1">
      <alignment vertical="center"/>
    </xf>
    <xf numFmtId="0" fontId="0" fillId="0" borderId="0" xfId="0" applyAlignment="1" applyProtection="1">
      <alignment vertical="center"/>
      <protection locked="0"/>
    </xf>
    <xf numFmtId="165" fontId="0" fillId="0" borderId="0" xfId="1" applyFont="1" applyAlignment="1" applyProtection="1">
      <alignment vertical="center"/>
      <protection locked="0"/>
    </xf>
    <xf numFmtId="168" fontId="0" fillId="6" borderId="0" xfId="2" applyNumberFormat="1" applyFont="1" applyFill="1" applyAlignment="1" applyProtection="1">
      <alignment vertical="center"/>
      <protection locked="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165" fontId="2" fillId="5" borderId="1" xfId="1" applyFont="1" applyFill="1" applyBorder="1" applyAlignment="1" applyProtection="1">
      <alignment horizontal="center" vertical="center" wrapText="1"/>
      <protection locked="0"/>
    </xf>
    <xf numFmtId="165" fontId="3" fillId="0" borderId="0" xfId="1" applyFont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165" fontId="0" fillId="6" borderId="1" xfId="1" applyFont="1" applyFill="1" applyBorder="1" applyAlignment="1" applyProtection="1">
      <alignment vertical="center"/>
      <protection locked="0"/>
    </xf>
    <xf numFmtId="9" fontId="0" fillId="6" borderId="0" xfId="1" applyNumberFormat="1" applyFont="1" applyFill="1" applyAlignment="1" applyProtection="1">
      <alignment vertical="center"/>
      <protection locked="0"/>
    </xf>
    <xf numFmtId="0" fontId="0" fillId="0" borderId="0" xfId="0" applyBorder="1" applyAlignment="1" applyProtection="1">
      <alignment vertical="center"/>
      <protection locked="0"/>
    </xf>
    <xf numFmtId="165" fontId="0" fillId="0" borderId="0" xfId="1" applyFont="1" applyBorder="1" applyAlignment="1" applyProtection="1">
      <alignment vertical="center"/>
      <protection locked="0"/>
    </xf>
    <xf numFmtId="0" fontId="2" fillId="3" borderId="2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4" fillId="7" borderId="5" xfId="1" applyFont="1" applyFill="1" applyBorder="1" applyAlignment="1" applyProtection="1">
      <alignment horizontal="center" vertical="center" wrapText="1"/>
      <protection locked="0"/>
    </xf>
    <xf numFmtId="165" fontId="4" fillId="7" borderId="5" xfId="1" applyFont="1" applyFill="1" applyBorder="1" applyAlignment="1" applyProtection="1">
      <alignment vertical="center"/>
      <protection locked="0"/>
    </xf>
    <xf numFmtId="165" fontId="0" fillId="0" borderId="5" xfId="1" applyFont="1" applyBorder="1" applyAlignment="1" applyProtection="1">
      <alignment vertical="center"/>
      <protection hidden="1"/>
    </xf>
    <xf numFmtId="0" fontId="4" fillId="7" borderId="5" xfId="0" applyFont="1" applyFill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vertical="center"/>
      <protection hidden="1"/>
    </xf>
    <xf numFmtId="166" fontId="0" fillId="0" borderId="5" xfId="2" applyFont="1" applyBorder="1" applyAlignment="1" applyProtection="1">
      <alignment vertical="center"/>
      <protection hidden="1"/>
    </xf>
    <xf numFmtId="167" fontId="0" fillId="0" borderId="5" xfId="0" applyNumberFormat="1" applyBorder="1" applyAlignment="1" applyProtection="1">
      <alignment vertical="center"/>
      <protection hidden="1"/>
    </xf>
    <xf numFmtId="10" fontId="0" fillId="6" borderId="5" xfId="3" applyNumberFormat="1" applyFont="1" applyFill="1" applyBorder="1" applyAlignment="1" applyProtection="1">
      <alignment vertical="center"/>
      <protection locked="0"/>
    </xf>
    <xf numFmtId="10" fontId="8" fillId="6" borderId="5" xfId="0" applyNumberFormat="1" applyFont="1" applyFill="1" applyBorder="1" applyAlignment="1" applyProtection="1">
      <alignment horizontal="right"/>
      <protection locked="0"/>
    </xf>
    <xf numFmtId="0" fontId="0" fillId="6" borderId="5" xfId="0" applyFill="1" applyBorder="1" applyAlignment="1" applyProtection="1">
      <alignment vertical="center"/>
      <protection locked="0"/>
    </xf>
    <xf numFmtId="9" fontId="0" fillId="6" borderId="5" xfId="0" applyNumberFormat="1" applyFill="1" applyBorder="1" applyAlignment="1" applyProtection="1">
      <alignment vertical="center"/>
      <protection locked="0"/>
    </xf>
    <xf numFmtId="0" fontId="2" fillId="8" borderId="6" xfId="0" applyFont="1" applyFill="1" applyBorder="1" applyAlignment="1" applyProtection="1">
      <alignment horizontal="center" vertical="center" wrapText="1"/>
      <protection locked="0"/>
    </xf>
    <xf numFmtId="167" fontId="11" fillId="8" borderId="7" xfId="0" applyNumberFormat="1" applyFont="1" applyFill="1" applyBorder="1" applyAlignment="1" applyProtection="1">
      <alignment horizontal="center" vertical="center"/>
      <protection locked="0"/>
    </xf>
    <xf numFmtId="167" fontId="0" fillId="0" borderId="0" xfId="0" applyNumberFormat="1" applyAlignment="1" applyProtection="1">
      <alignment vertical="center"/>
      <protection locked="0"/>
    </xf>
    <xf numFmtId="0" fontId="10" fillId="0" borderId="0" xfId="0" applyFont="1" applyFill="1" applyAlignment="1">
      <alignment horizontal="center" vertical="center"/>
    </xf>
    <xf numFmtId="10" fontId="0" fillId="6" borderId="0" xfId="3" applyNumberFormat="1" applyFont="1" applyFill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165" fontId="0" fillId="0" borderId="5" xfId="1" applyFont="1" applyFill="1" applyBorder="1" applyAlignment="1" applyProtection="1">
      <alignment vertical="center"/>
      <protection hidden="1"/>
    </xf>
    <xf numFmtId="165" fontId="0" fillId="0" borderId="0" xfId="0" applyNumberFormat="1" applyAlignment="1" applyProtection="1">
      <alignment vertical="center"/>
      <protection locked="0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65" fontId="4" fillId="0" borderId="11" xfId="1" applyFont="1" applyBorder="1" applyAlignment="1" applyProtection="1">
      <alignment horizontal="center" vertical="center"/>
      <protection locked="0"/>
    </xf>
    <xf numFmtId="165" fontId="4" fillId="0" borderId="12" xfId="1" applyFont="1" applyBorder="1" applyAlignment="1" applyProtection="1">
      <alignment horizontal="center" vertical="center"/>
      <protection locked="0"/>
    </xf>
    <xf numFmtId="165" fontId="4" fillId="0" borderId="13" xfId="1" applyFont="1" applyBorder="1" applyAlignment="1" applyProtection="1">
      <alignment horizontal="center" vertical="center"/>
      <protection locked="0"/>
    </xf>
  </cellXfs>
  <cellStyles count="4">
    <cellStyle name="Millares" xfId="2" builtinId="3"/>
    <cellStyle name="Moneda" xfId="1" builtinId="4"/>
    <cellStyle name="Normal" xfId="0" builtinId="0"/>
    <cellStyle name="Porcentaje" xfId="3" builtinId="5"/>
  </cellStyles>
  <dxfs count="0"/>
  <tableStyles count="0" defaultTableStyle="TableStyleMedium2" defaultPivotStyle="PivotStyleLight16"/>
  <colors>
    <mruColors>
      <color rgb="FFC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showGridLines="0" topLeftCell="A25" workbookViewId="0">
      <selection activeCell="L50" sqref="L50"/>
    </sheetView>
  </sheetViews>
  <sheetFormatPr baseColWidth="10" defaultRowHeight="15" x14ac:dyDescent="0.25"/>
  <cols>
    <col min="2" max="2" width="20.42578125" bestFit="1" customWidth="1"/>
    <col min="3" max="3" width="6.28515625" style="3" customWidth="1"/>
    <col min="4" max="4" width="11.5703125" style="1"/>
    <col min="5" max="5" width="3.140625" style="6" customWidth="1"/>
    <col min="6" max="6" width="15.7109375" customWidth="1"/>
    <col min="7" max="7" width="11.5703125" style="3"/>
    <col min="9" max="9" width="2.140625" style="7" customWidth="1"/>
    <col min="10" max="10" width="16" customWidth="1"/>
    <col min="11" max="11" width="11.5703125" style="3"/>
    <col min="13" max="13" width="2.7109375" style="7" customWidth="1"/>
    <col min="14" max="14" width="15.28515625" customWidth="1"/>
    <col min="15" max="15" width="11.5703125" style="3"/>
  </cols>
  <sheetData>
    <row r="1" spans="2:16" ht="43.15" customHeight="1" x14ac:dyDescent="0.25">
      <c r="B1" s="70" t="s">
        <v>10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</row>
    <row r="2" spans="2:16" ht="36" customHeight="1" x14ac:dyDescent="0.25">
      <c r="B2" s="27" t="s">
        <v>31</v>
      </c>
      <c r="C2" s="27"/>
      <c r="D2" s="58">
        <f>'nuevo (cálculo)'!C3</f>
        <v>4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2:16" x14ac:dyDescent="0.25">
      <c r="B3" s="67" t="s">
        <v>9</v>
      </c>
      <c r="C3" s="68"/>
      <c r="D3" s="69"/>
      <c r="F3" s="24" t="s">
        <v>21</v>
      </c>
      <c r="G3" s="25" t="s">
        <v>22</v>
      </c>
      <c r="H3" s="26">
        <f>'nuevo (cálculo)'!B6</f>
        <v>0.15</v>
      </c>
      <c r="J3" s="23" t="s">
        <v>23</v>
      </c>
      <c r="K3" s="21" t="s">
        <v>22</v>
      </c>
      <c r="L3" s="22">
        <f>'nuevo (cálculo)'!B7</f>
        <v>0.1</v>
      </c>
      <c r="N3" s="24" t="s">
        <v>24</v>
      </c>
      <c r="O3" s="25" t="s">
        <v>22</v>
      </c>
      <c r="P3" s="26">
        <f>'nuevo (cálculo)'!B8</f>
        <v>0.1</v>
      </c>
    </row>
    <row r="4" spans="2:16" x14ac:dyDescent="0.25">
      <c r="B4" s="2"/>
      <c r="F4" s="2"/>
      <c r="H4" s="1"/>
      <c r="J4" s="2"/>
      <c r="L4" s="1"/>
      <c r="N4" s="2"/>
      <c r="P4" s="1"/>
    </row>
    <row r="5" spans="2:16" x14ac:dyDescent="0.25">
      <c r="B5" s="74" t="s">
        <v>0</v>
      </c>
      <c r="C5" s="74"/>
      <c r="D5" s="4">
        <f>+'nuevo (cálculo)'!$C$6</f>
        <v>25290</v>
      </c>
      <c r="F5" s="74" t="s">
        <v>0</v>
      </c>
      <c r="G5" s="74"/>
      <c r="H5" s="4">
        <f>+$D$5-(D5*H3)</f>
        <v>21496.5</v>
      </c>
      <c r="J5" s="74" t="s">
        <v>0</v>
      </c>
      <c r="K5" s="74"/>
      <c r="L5" s="4">
        <f>+$H$5-(H5*L3)</f>
        <v>19346.849999999999</v>
      </c>
      <c r="N5" s="74" t="s">
        <v>0</v>
      </c>
      <c r="O5" s="74"/>
      <c r="P5" s="4">
        <f>+$L$5-(L5*P3)</f>
        <v>17412.164999999997</v>
      </c>
    </row>
    <row r="6" spans="2:16" x14ac:dyDescent="0.25">
      <c r="B6" s="5" t="s">
        <v>1</v>
      </c>
      <c r="C6" s="10">
        <v>0.03</v>
      </c>
      <c r="D6" s="4"/>
      <c r="F6" s="5" t="s">
        <v>1</v>
      </c>
      <c r="G6" s="10">
        <v>0.03</v>
      </c>
      <c r="H6" s="4"/>
      <c r="J6" s="5" t="s">
        <v>1</v>
      </c>
      <c r="K6" s="10">
        <v>0.03</v>
      </c>
      <c r="L6" s="4"/>
      <c r="N6" s="5" t="s">
        <v>1</v>
      </c>
      <c r="O6" s="10">
        <v>0.03</v>
      </c>
      <c r="P6" s="4"/>
    </row>
    <row r="7" spans="2:16" x14ac:dyDescent="0.25">
      <c r="B7" s="5" t="s">
        <v>2</v>
      </c>
      <c r="C7" s="10"/>
      <c r="D7" s="4">
        <f>+D5*C6</f>
        <v>758.69999999999993</v>
      </c>
      <c r="F7" s="5" t="s">
        <v>2</v>
      </c>
      <c r="G7" s="10"/>
      <c r="H7" s="4">
        <f>+H5*G6</f>
        <v>644.89499999999998</v>
      </c>
      <c r="J7" s="5" t="s">
        <v>2</v>
      </c>
      <c r="K7" s="10"/>
      <c r="L7" s="4">
        <f>+L5*K6</f>
        <v>580.40549999999996</v>
      </c>
      <c r="N7" s="5" t="s">
        <v>2</v>
      </c>
      <c r="O7" s="10"/>
      <c r="P7" s="4">
        <f>+P5*O6</f>
        <v>522.36494999999991</v>
      </c>
    </row>
    <row r="8" spans="2:16" x14ac:dyDescent="0.25">
      <c r="B8" s="5" t="s">
        <v>3</v>
      </c>
      <c r="C8" s="10">
        <v>3.5000000000000003E-2</v>
      </c>
      <c r="D8" s="4">
        <f>+D7*C8</f>
        <v>26.554500000000001</v>
      </c>
      <c r="F8" s="5" t="s">
        <v>3</v>
      </c>
      <c r="G8" s="10">
        <v>3.5000000000000003E-2</v>
      </c>
      <c r="H8" s="4">
        <f>+H7*G8</f>
        <v>22.571325000000002</v>
      </c>
      <c r="J8" s="5" t="s">
        <v>3</v>
      </c>
      <c r="K8" s="10">
        <v>3.5000000000000003E-2</v>
      </c>
      <c r="L8" s="4">
        <f>+L7*K8</f>
        <v>20.314192500000001</v>
      </c>
      <c r="N8" s="5" t="s">
        <v>3</v>
      </c>
      <c r="O8" s="10">
        <v>3.5000000000000003E-2</v>
      </c>
      <c r="P8" s="4">
        <f>+P7*O8</f>
        <v>18.282773249999998</v>
      </c>
    </row>
    <row r="9" spans="2:16" x14ac:dyDescent="0.25">
      <c r="B9" s="5" t="s">
        <v>4</v>
      </c>
      <c r="C9" s="10">
        <v>5.0000000000000001E-3</v>
      </c>
      <c r="D9" s="4">
        <f>+D7*C9</f>
        <v>3.7934999999999999</v>
      </c>
      <c r="F9" s="5" t="s">
        <v>4</v>
      </c>
      <c r="G9" s="10">
        <v>5.0000000000000001E-3</v>
      </c>
      <c r="H9" s="4">
        <f>+H7*G9</f>
        <v>3.224475</v>
      </c>
      <c r="J9" s="5" t="s">
        <v>4</v>
      </c>
      <c r="K9" s="10">
        <v>5.0000000000000001E-3</v>
      </c>
      <c r="L9" s="4">
        <f>+L7*K9</f>
        <v>2.9020275</v>
      </c>
      <c r="N9" s="5" t="s">
        <v>4</v>
      </c>
      <c r="O9" s="10">
        <v>5.0000000000000001E-3</v>
      </c>
      <c r="P9" s="4">
        <f>+P7*O9</f>
        <v>2.6118247499999998</v>
      </c>
    </row>
    <row r="10" spans="2:16" x14ac:dyDescent="0.25">
      <c r="B10" s="5" t="s">
        <v>5</v>
      </c>
      <c r="C10" s="11"/>
      <c r="D10" s="4">
        <v>6</v>
      </c>
      <c r="F10" s="5" t="s">
        <v>5</v>
      </c>
      <c r="G10" s="11"/>
      <c r="H10" s="4">
        <v>6</v>
      </c>
      <c r="J10" s="5" t="s">
        <v>5</v>
      </c>
      <c r="K10" s="11"/>
      <c r="L10" s="4">
        <v>6</v>
      </c>
      <c r="N10" s="5" t="s">
        <v>5</v>
      </c>
      <c r="O10" s="11"/>
      <c r="P10" s="4">
        <v>6</v>
      </c>
    </row>
    <row r="11" spans="2:16" x14ac:dyDescent="0.25">
      <c r="B11" s="5" t="s">
        <v>6</v>
      </c>
      <c r="C11" s="10"/>
      <c r="D11" s="4">
        <f>+D8+D7+D9+D10</f>
        <v>795.04799999999989</v>
      </c>
      <c r="F11" s="5" t="s">
        <v>6</v>
      </c>
      <c r="G11" s="10"/>
      <c r="H11" s="4">
        <f>+H8+H7+H9+H10</f>
        <v>676.69079999999997</v>
      </c>
      <c r="J11" s="5" t="s">
        <v>6</v>
      </c>
      <c r="K11" s="10"/>
      <c r="L11" s="4">
        <f>+L8+L7+L9+L10</f>
        <v>609.62171999999998</v>
      </c>
      <c r="N11" s="5" t="s">
        <v>6</v>
      </c>
      <c r="O11" s="10"/>
      <c r="P11" s="4">
        <f>+P8+P7+P9+P10</f>
        <v>549.25954799999988</v>
      </c>
    </row>
    <row r="12" spans="2:16" x14ac:dyDescent="0.25">
      <c r="B12" s="5" t="s">
        <v>7</v>
      </c>
      <c r="C12" s="10">
        <v>0.12</v>
      </c>
      <c r="D12" s="4">
        <f>+D11*C12</f>
        <v>95.405759999999987</v>
      </c>
      <c r="F12" s="5" t="s">
        <v>7</v>
      </c>
      <c r="G12" s="10">
        <v>0.12</v>
      </c>
      <c r="H12" s="4">
        <f>+H11*G12</f>
        <v>81.202895999999996</v>
      </c>
      <c r="J12" s="5" t="s">
        <v>7</v>
      </c>
      <c r="K12" s="10">
        <v>0.12</v>
      </c>
      <c r="L12" s="4">
        <f>+L11*K12</f>
        <v>73.154606399999992</v>
      </c>
      <c r="N12" s="5" t="s">
        <v>7</v>
      </c>
      <c r="O12" s="10">
        <v>0.12</v>
      </c>
      <c r="P12" s="4">
        <f>+P11*O12</f>
        <v>65.911145759999982</v>
      </c>
    </row>
    <row r="13" spans="2:16" x14ac:dyDescent="0.25">
      <c r="B13" s="73" t="s">
        <v>8</v>
      </c>
      <c r="C13" s="73"/>
      <c r="D13" s="8">
        <f>+D11+D12</f>
        <v>890.45375999999987</v>
      </c>
      <c r="F13" s="72" t="s">
        <v>8</v>
      </c>
      <c r="G13" s="72"/>
      <c r="H13" s="9">
        <f>+H11+H12</f>
        <v>757.89369599999998</v>
      </c>
      <c r="J13" s="73" t="s">
        <v>8</v>
      </c>
      <c r="K13" s="73"/>
      <c r="L13" s="8">
        <f>+L11+L12</f>
        <v>682.77632640000002</v>
      </c>
      <c r="N13" s="72" t="s">
        <v>8</v>
      </c>
      <c r="O13" s="72"/>
      <c r="P13" s="9">
        <f>+P11+P12</f>
        <v>615.17069375999984</v>
      </c>
    </row>
    <row r="14" spans="2:16" x14ac:dyDescent="0.25">
      <c r="D14" s="1">
        <f>+D13/12</f>
        <v>74.20447999999999</v>
      </c>
      <c r="H14" s="1">
        <f>+H13/12</f>
        <v>63.157807999999996</v>
      </c>
      <c r="L14" s="1">
        <f>+L13/12</f>
        <v>56.898027200000001</v>
      </c>
      <c r="P14" s="1">
        <f>+P13/12</f>
        <v>51.264224479999989</v>
      </c>
    </row>
    <row r="16" spans="2:16" s="15" customFormat="1" ht="21" customHeight="1" x14ac:dyDescent="0.25">
      <c r="B16" s="71" t="s">
        <v>11</v>
      </c>
      <c r="C16" s="71"/>
      <c r="D16" s="71"/>
      <c r="E16" s="12"/>
      <c r="F16" s="13">
        <f>+D13+H13+L13+P13</f>
        <v>2946.2944761599997</v>
      </c>
      <c r="G16" s="14"/>
      <c r="I16" s="16"/>
      <c r="K16" s="14"/>
      <c r="M16" s="16"/>
      <c r="O16" s="14"/>
    </row>
    <row r="17" spans="2:16" s="15" customFormat="1" ht="21" customHeight="1" x14ac:dyDescent="0.25">
      <c r="C17" s="14"/>
      <c r="D17" s="17"/>
      <c r="E17" s="18"/>
      <c r="G17" s="14"/>
      <c r="I17" s="16"/>
      <c r="K17" s="14"/>
      <c r="M17" s="16"/>
      <c r="O17" s="14"/>
    </row>
    <row r="18" spans="2:16" s="15" customFormat="1" ht="21" customHeight="1" x14ac:dyDescent="0.25">
      <c r="B18" s="65" t="s">
        <v>12</v>
      </c>
      <c r="C18" s="66"/>
      <c r="D18" s="19">
        <f>+D2*12</f>
        <v>48</v>
      </c>
      <c r="E18" s="18"/>
      <c r="F18" s="20">
        <f>+F16/D18</f>
        <v>61.381134919999994</v>
      </c>
      <c r="G18" s="63" t="s">
        <v>13</v>
      </c>
      <c r="H18" s="64"/>
      <c r="I18" s="16"/>
      <c r="K18" s="14"/>
      <c r="M18" s="16"/>
      <c r="O18" s="14"/>
    </row>
    <row r="20" spans="2:16" ht="37.5" customHeight="1" x14ac:dyDescent="0.25"/>
    <row r="21" spans="2:16" ht="15.75" thickBot="1" x14ac:dyDescent="0.3"/>
    <row r="22" spans="2:16" ht="40.5" customHeight="1" thickBot="1" x14ac:dyDescent="0.3">
      <c r="B22" s="75" t="s">
        <v>36</v>
      </c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7"/>
    </row>
    <row r="23" spans="2:16" ht="18.75" x14ac:dyDescent="0.25">
      <c r="B23" s="41" t="s">
        <v>31</v>
      </c>
      <c r="C23" s="41"/>
      <c r="D23" s="58">
        <f>'nuevo (cálculo)'!C3</f>
        <v>4</v>
      </c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spans="2:16" x14ac:dyDescent="0.25">
      <c r="B24" s="67" t="s">
        <v>9</v>
      </c>
      <c r="C24" s="68"/>
      <c r="D24" s="69"/>
      <c r="F24" s="24" t="s">
        <v>21</v>
      </c>
      <c r="G24" s="25" t="s">
        <v>22</v>
      </c>
      <c r="H24" s="26">
        <f>'nuevo (cálculo)'!B6</f>
        <v>0.15</v>
      </c>
      <c r="J24" s="40" t="s">
        <v>23</v>
      </c>
      <c r="K24" s="21" t="s">
        <v>22</v>
      </c>
      <c r="L24" s="22">
        <f>'nuevo (cálculo)'!B7</f>
        <v>0.1</v>
      </c>
      <c r="N24" s="24" t="s">
        <v>24</v>
      </c>
      <c r="O24" s="25" t="s">
        <v>22</v>
      </c>
      <c r="P24" s="26">
        <f>'nuevo (cálculo)'!B8</f>
        <v>0.1</v>
      </c>
    </row>
    <row r="25" spans="2:16" x14ac:dyDescent="0.25">
      <c r="B25" s="2"/>
      <c r="F25" s="2"/>
      <c r="H25" s="1"/>
      <c r="J25" s="2"/>
      <c r="L25" s="1"/>
      <c r="N25" s="2"/>
      <c r="P25" s="1"/>
    </row>
    <row r="26" spans="2:16" x14ac:dyDescent="0.25">
      <c r="B26" s="74" t="s">
        <v>0</v>
      </c>
      <c r="C26" s="74"/>
      <c r="D26" s="4">
        <f>+'nuevo (cálculo)'!$C$6</f>
        <v>25290</v>
      </c>
      <c r="F26" s="74" t="s">
        <v>0</v>
      </c>
      <c r="G26" s="74"/>
      <c r="H26" s="4">
        <f>+$D$5-(D26*H24)</f>
        <v>21496.5</v>
      </c>
      <c r="J26" s="74" t="s">
        <v>0</v>
      </c>
      <c r="K26" s="74"/>
      <c r="L26" s="4">
        <f>+$H$5-(H26*L24)</f>
        <v>19346.849999999999</v>
      </c>
      <c r="N26" s="74" t="s">
        <v>0</v>
      </c>
      <c r="O26" s="74"/>
      <c r="P26" s="4">
        <f>+$L$5-(L26*P24)</f>
        <v>17412.164999999997</v>
      </c>
    </row>
    <row r="27" spans="2:16" x14ac:dyDescent="0.25">
      <c r="B27" s="5" t="s">
        <v>1</v>
      </c>
      <c r="C27" s="10">
        <v>0.03</v>
      </c>
      <c r="D27" s="4"/>
      <c r="F27" s="5" t="s">
        <v>1</v>
      </c>
      <c r="G27" s="10">
        <v>0.03</v>
      </c>
      <c r="H27" s="4"/>
      <c r="J27" s="5" t="s">
        <v>1</v>
      </c>
      <c r="K27" s="10">
        <v>0.03</v>
      </c>
      <c r="L27" s="4"/>
      <c r="N27" s="5" t="s">
        <v>1</v>
      </c>
      <c r="O27" s="10">
        <v>0.03</v>
      </c>
      <c r="P27" s="4"/>
    </row>
    <row r="28" spans="2:16" x14ac:dyDescent="0.25">
      <c r="B28" s="5" t="s">
        <v>2</v>
      </c>
      <c r="C28" s="10"/>
      <c r="D28" s="4">
        <f>+SUM('nuevo (cálculo)'!C13:C24)</f>
        <v>706.53937499999995</v>
      </c>
      <c r="F28" s="5" t="s">
        <v>2</v>
      </c>
      <c r="G28" s="10"/>
      <c r="H28" s="4">
        <f>+SUM('nuevo (cálculo)'!C25:C36)</f>
        <v>615.33731249999994</v>
      </c>
      <c r="J28" s="5" t="s">
        <v>2</v>
      </c>
      <c r="K28" s="10"/>
      <c r="L28" s="4">
        <f>+SUM('nuevo (cálculo)'!C37:C48)</f>
        <v>553.80358124999987</v>
      </c>
      <c r="N28" s="5" t="s">
        <v>2</v>
      </c>
      <c r="O28" s="10"/>
      <c r="P28" s="4">
        <f>+SUM('nuevo (cálculo)'!C49:C60)</f>
        <v>498.42322312500016</v>
      </c>
    </row>
    <row r="29" spans="2:16" x14ac:dyDescent="0.25">
      <c r="B29" s="5" t="s">
        <v>3</v>
      </c>
      <c r="C29" s="10">
        <v>3.5000000000000003E-2</v>
      </c>
      <c r="D29" s="4">
        <f>+D28*C29</f>
        <v>24.728878125000001</v>
      </c>
      <c r="F29" s="5" t="s">
        <v>3</v>
      </c>
      <c r="G29" s="10">
        <v>3.5000000000000003E-2</v>
      </c>
      <c r="H29" s="4">
        <f>+H28*G29</f>
        <v>21.536805937499999</v>
      </c>
      <c r="J29" s="5" t="s">
        <v>3</v>
      </c>
      <c r="K29" s="10">
        <v>3.5000000000000003E-2</v>
      </c>
      <c r="L29" s="4">
        <f>+L28*K29</f>
        <v>19.383125343749999</v>
      </c>
      <c r="N29" s="5" t="s">
        <v>3</v>
      </c>
      <c r="O29" s="10">
        <v>3.5000000000000003E-2</v>
      </c>
      <c r="P29" s="4">
        <f>+P28*O29</f>
        <v>17.444812809375009</v>
      </c>
    </row>
    <row r="30" spans="2:16" x14ac:dyDescent="0.25">
      <c r="B30" s="5" t="s">
        <v>4</v>
      </c>
      <c r="C30" s="10">
        <v>5.0000000000000001E-3</v>
      </c>
      <c r="D30" s="4">
        <f>+D28*C30</f>
        <v>3.5326968749999996</v>
      </c>
      <c r="F30" s="5" t="s">
        <v>4</v>
      </c>
      <c r="G30" s="10">
        <v>5.0000000000000001E-3</v>
      </c>
      <c r="H30" s="4">
        <f>+H28*G30</f>
        <v>3.0766865624999999</v>
      </c>
      <c r="J30" s="5" t="s">
        <v>4</v>
      </c>
      <c r="K30" s="10">
        <v>5.0000000000000001E-3</v>
      </c>
      <c r="L30" s="4">
        <f>+L28*K30</f>
        <v>2.7690179062499993</v>
      </c>
      <c r="N30" s="5" t="s">
        <v>4</v>
      </c>
      <c r="O30" s="10">
        <v>5.0000000000000001E-3</v>
      </c>
      <c r="P30" s="4">
        <f>+P28*O30</f>
        <v>2.4921161156250009</v>
      </c>
    </row>
    <row r="31" spans="2:16" x14ac:dyDescent="0.25">
      <c r="B31" s="5" t="s">
        <v>5</v>
      </c>
      <c r="C31" s="11">
        <v>1</v>
      </c>
      <c r="D31" s="4">
        <f>+SUM('nuevo (cálculo)'!F13:F24)</f>
        <v>6</v>
      </c>
      <c r="F31" s="5" t="s">
        <v>5</v>
      </c>
      <c r="G31" s="11">
        <v>1</v>
      </c>
      <c r="H31" s="4">
        <f>SUM('nuevo (cálculo)'!F25:F36)</f>
        <v>6</v>
      </c>
      <c r="J31" s="5" t="s">
        <v>5</v>
      </c>
      <c r="K31" s="11">
        <v>1</v>
      </c>
      <c r="L31" s="4">
        <f>SUM('nuevo (cálculo)'!F37:F48)</f>
        <v>6</v>
      </c>
      <c r="N31" s="5" t="s">
        <v>5</v>
      </c>
      <c r="O31" s="11">
        <v>1</v>
      </c>
      <c r="P31" s="4">
        <f>SUM('nuevo (cálculo)'!F49:F60)</f>
        <v>6</v>
      </c>
    </row>
    <row r="32" spans="2:16" x14ac:dyDescent="0.25">
      <c r="B32" s="5" t="s">
        <v>6</v>
      </c>
      <c r="C32" s="10"/>
      <c r="D32" s="4">
        <f>+D29+D28+D30+D31</f>
        <v>740.80095000000006</v>
      </c>
      <c r="F32" s="5" t="s">
        <v>6</v>
      </c>
      <c r="G32" s="10"/>
      <c r="H32" s="4">
        <f>+H29+H28+H30+H31</f>
        <v>645.95080499999995</v>
      </c>
      <c r="J32" s="5" t="s">
        <v>6</v>
      </c>
      <c r="K32" s="10"/>
      <c r="L32" s="4">
        <f>+L29+L28+L30+L31</f>
        <v>581.95572449999986</v>
      </c>
      <c r="N32" s="5" t="s">
        <v>6</v>
      </c>
      <c r="O32" s="10"/>
      <c r="P32" s="4">
        <f>+P29+P28+P30+P31</f>
        <v>524.36015205000012</v>
      </c>
    </row>
    <row r="33" spans="1:16" x14ac:dyDescent="0.25">
      <c r="B33" s="5" t="s">
        <v>7</v>
      </c>
      <c r="C33" s="10">
        <v>0.12</v>
      </c>
      <c r="D33" s="4">
        <f>+D32*C33</f>
        <v>88.896113999999997</v>
      </c>
      <c r="F33" s="5" t="s">
        <v>7</v>
      </c>
      <c r="G33" s="10">
        <v>0.12</v>
      </c>
      <c r="H33" s="4">
        <f>+H32*G33</f>
        <v>77.514096599999988</v>
      </c>
      <c r="J33" s="5" t="s">
        <v>7</v>
      </c>
      <c r="K33" s="10">
        <v>0.12</v>
      </c>
      <c r="L33" s="4">
        <f>+L32*K33</f>
        <v>69.834686939999983</v>
      </c>
      <c r="N33" s="5" t="s">
        <v>7</v>
      </c>
      <c r="O33" s="10">
        <v>0.12</v>
      </c>
      <c r="P33" s="4">
        <f>+P32*O33</f>
        <v>62.923218246000012</v>
      </c>
    </row>
    <row r="34" spans="1:16" x14ac:dyDescent="0.25">
      <c r="B34" s="73" t="s">
        <v>8</v>
      </c>
      <c r="C34" s="73"/>
      <c r="D34" s="8">
        <f>+D32+D33</f>
        <v>829.69706400000007</v>
      </c>
      <c r="F34" s="72" t="s">
        <v>8</v>
      </c>
      <c r="G34" s="72"/>
      <c r="H34" s="9">
        <f>+H32+H33</f>
        <v>723.46490159999996</v>
      </c>
      <c r="J34" s="73" t="s">
        <v>8</v>
      </c>
      <c r="K34" s="73"/>
      <c r="L34" s="8">
        <f>+L32+L33</f>
        <v>651.79041143999984</v>
      </c>
      <c r="N34" s="72" t="s">
        <v>8</v>
      </c>
      <c r="O34" s="72"/>
      <c r="P34" s="9">
        <f>+P32+P33</f>
        <v>587.28337029600016</v>
      </c>
    </row>
    <row r="35" spans="1:16" x14ac:dyDescent="0.25">
      <c r="D35" s="1">
        <f>+D34/12</f>
        <v>69.141422000000006</v>
      </c>
      <c r="H35" s="1">
        <f>+H34/12</f>
        <v>60.288741799999997</v>
      </c>
      <c r="L35" s="1">
        <f>+L34/12</f>
        <v>54.315867619999985</v>
      </c>
      <c r="P35" s="1">
        <f>+P34/12</f>
        <v>48.940280858000015</v>
      </c>
    </row>
    <row r="37" spans="1:16" x14ac:dyDescent="0.25">
      <c r="A37" s="15"/>
      <c r="B37" s="71" t="s">
        <v>11</v>
      </c>
      <c r="C37" s="71"/>
      <c r="D37" s="71"/>
      <c r="E37" s="12"/>
      <c r="F37" s="13">
        <f>+D34+H34+L34+P34</f>
        <v>2792.2357473360003</v>
      </c>
      <c r="G37" s="14"/>
      <c r="H37" s="15"/>
      <c r="I37" s="16"/>
      <c r="J37" s="15"/>
      <c r="K37" s="14"/>
      <c r="L37" s="15"/>
      <c r="M37" s="16"/>
      <c r="N37" s="15"/>
      <c r="O37" s="14"/>
      <c r="P37" s="15"/>
    </row>
    <row r="38" spans="1:16" x14ac:dyDescent="0.25">
      <c r="A38" s="15"/>
      <c r="B38" s="15"/>
      <c r="C38" s="14"/>
      <c r="D38" s="17"/>
      <c r="E38" s="18"/>
      <c r="F38" s="15"/>
      <c r="G38" s="14"/>
      <c r="H38" s="15"/>
      <c r="I38" s="16"/>
      <c r="J38" s="15"/>
      <c r="K38" s="14"/>
      <c r="L38" s="15"/>
      <c r="M38" s="16"/>
      <c r="N38" s="15"/>
      <c r="O38" s="14"/>
      <c r="P38" s="15"/>
    </row>
    <row r="39" spans="1:16" ht="18.75" x14ac:dyDescent="0.25">
      <c r="A39" s="15"/>
      <c r="B39" s="65" t="s">
        <v>12</v>
      </c>
      <c r="C39" s="66"/>
      <c r="D39" s="42">
        <f>+D23*12</f>
        <v>48</v>
      </c>
      <c r="E39" s="18"/>
      <c r="F39" s="20">
        <f>+F37/D39</f>
        <v>58.171578069500008</v>
      </c>
      <c r="G39" s="63" t="s">
        <v>13</v>
      </c>
      <c r="H39" s="64"/>
      <c r="I39" s="16"/>
      <c r="J39" s="15"/>
      <c r="K39" s="14"/>
      <c r="L39" s="15"/>
      <c r="M39" s="16"/>
      <c r="N39" s="15"/>
      <c r="O39" s="14"/>
      <c r="P39" s="15"/>
    </row>
  </sheetData>
  <mergeCells count="26">
    <mergeCell ref="B39:C39"/>
    <mergeCell ref="G39:H39"/>
    <mergeCell ref="B34:C34"/>
    <mergeCell ref="F34:G34"/>
    <mergeCell ref="J34:K34"/>
    <mergeCell ref="N34:O34"/>
    <mergeCell ref="B37:D37"/>
    <mergeCell ref="B22:P22"/>
    <mergeCell ref="B24:D24"/>
    <mergeCell ref="B26:C26"/>
    <mergeCell ref="F26:G26"/>
    <mergeCell ref="J26:K26"/>
    <mergeCell ref="N26:O26"/>
    <mergeCell ref="G18:H18"/>
    <mergeCell ref="B18:C18"/>
    <mergeCell ref="B3:D3"/>
    <mergeCell ref="B1:P1"/>
    <mergeCell ref="B16:D16"/>
    <mergeCell ref="N13:O13"/>
    <mergeCell ref="J13:K13"/>
    <mergeCell ref="F13:G13"/>
    <mergeCell ref="B13:C13"/>
    <mergeCell ref="B5:C5"/>
    <mergeCell ref="F5:G5"/>
    <mergeCell ref="J5:K5"/>
    <mergeCell ref="N5:O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showGridLines="0" tabSelected="1" zoomScale="80" zoomScaleNormal="80" workbookViewId="0">
      <pane xSplit="2" ySplit="12" topLeftCell="C54" activePane="bottomRight" state="frozen"/>
      <selection pane="topRight" activeCell="C1" sqref="C1"/>
      <selection pane="bottomLeft" activeCell="A11" sqref="A11"/>
      <selection pane="bottomRight" activeCell="L12" sqref="L12:M60"/>
    </sheetView>
  </sheetViews>
  <sheetFormatPr baseColWidth="10" defaultColWidth="11.5703125" defaultRowHeight="15" x14ac:dyDescent="0.25"/>
  <cols>
    <col min="1" max="1" width="11.5703125" style="29"/>
    <col min="2" max="2" width="18.28515625" style="30" customWidth="1"/>
    <col min="3" max="3" width="17" style="30" customWidth="1"/>
    <col min="4" max="4" width="16.42578125" style="29" customWidth="1"/>
    <col min="5" max="5" width="14.28515625" style="30" customWidth="1"/>
    <col min="6" max="7" width="11.5703125" style="30"/>
    <col min="8" max="8" width="15.140625" style="30" customWidth="1"/>
    <col min="9" max="9" width="13.42578125" style="29" customWidth="1"/>
    <col min="10" max="10" width="3.5703125" style="29" customWidth="1"/>
    <col min="11" max="12" width="11.5703125" style="29"/>
    <col min="13" max="13" width="13" style="29" customWidth="1"/>
    <col min="14" max="14" width="15" style="29" customWidth="1"/>
    <col min="15" max="16384" width="11.5703125" style="29"/>
  </cols>
  <sheetData>
    <row r="1" spans="1:13" x14ac:dyDescent="0.25">
      <c r="A1" s="29" t="s">
        <v>37</v>
      </c>
      <c r="C1" t="s">
        <v>38</v>
      </c>
    </row>
    <row r="2" spans="1:13" x14ac:dyDescent="0.25">
      <c r="A2" s="29" t="s">
        <v>39</v>
      </c>
      <c r="B2" s="29"/>
      <c r="C2" t="s">
        <v>40</v>
      </c>
    </row>
    <row r="3" spans="1:13" x14ac:dyDescent="0.25">
      <c r="A3" s="29" t="s">
        <v>31</v>
      </c>
      <c r="C3" s="31">
        <v>4</v>
      </c>
      <c r="D3" s="60"/>
    </row>
    <row r="4" spans="1:13" ht="15.75" thickBot="1" x14ac:dyDescent="0.3"/>
    <row r="5" spans="1:13" ht="60.75" thickBot="1" x14ac:dyDescent="0.3">
      <c r="A5" s="32" t="s">
        <v>18</v>
      </c>
      <c r="B5" s="32" t="s">
        <v>30</v>
      </c>
      <c r="C5" s="33" t="s">
        <v>20</v>
      </c>
      <c r="D5" s="33" t="s">
        <v>19</v>
      </c>
      <c r="E5" s="33" t="s">
        <v>25</v>
      </c>
      <c r="F5" s="33" t="s">
        <v>1</v>
      </c>
      <c r="G5" s="34"/>
      <c r="H5" s="55" t="s">
        <v>35</v>
      </c>
      <c r="I5" s="56">
        <f>AVERAGE(I13:I60)</f>
        <v>58.171578069499986</v>
      </c>
    </row>
    <row r="6" spans="1:13" ht="21.6" customHeight="1" x14ac:dyDescent="0.25">
      <c r="A6" s="35" t="s">
        <v>14</v>
      </c>
      <c r="B6" s="37">
        <v>0.15</v>
      </c>
      <c r="C6" s="36">
        <v>25290</v>
      </c>
      <c r="D6" s="28">
        <f>+C6*B6</f>
        <v>3793.5</v>
      </c>
      <c r="E6" s="28">
        <f>+D6/12</f>
        <v>316.125</v>
      </c>
      <c r="F6" s="59">
        <v>0.03</v>
      </c>
      <c r="H6" s="34"/>
    </row>
    <row r="7" spans="1:13" ht="21.6" customHeight="1" x14ac:dyDescent="0.25">
      <c r="A7" s="35" t="s">
        <v>15</v>
      </c>
      <c r="B7" s="37">
        <v>0.1</v>
      </c>
      <c r="C7" s="28">
        <f>+C6-D6</f>
        <v>21496.5</v>
      </c>
      <c r="D7" s="28">
        <f>+C7*B7</f>
        <v>2149.65</v>
      </c>
      <c r="E7" s="28">
        <f>+D7/12</f>
        <v>179.13750000000002</v>
      </c>
      <c r="F7" s="59">
        <v>0.03</v>
      </c>
      <c r="H7" s="34"/>
    </row>
    <row r="8" spans="1:13" ht="21.6" customHeight="1" x14ac:dyDescent="0.25">
      <c r="A8" s="35" t="s">
        <v>16</v>
      </c>
      <c r="B8" s="37">
        <v>0.1</v>
      </c>
      <c r="C8" s="28">
        <f>+C7-D7</f>
        <v>19346.849999999999</v>
      </c>
      <c r="D8" s="28">
        <f>+C8*B8</f>
        <v>1934.6849999999999</v>
      </c>
      <c r="E8" s="28">
        <f>+D8/12</f>
        <v>161.22375</v>
      </c>
      <c r="F8" s="59">
        <v>0.03</v>
      </c>
      <c r="H8" s="34"/>
    </row>
    <row r="9" spans="1:13" ht="21.6" customHeight="1" x14ac:dyDescent="0.25">
      <c r="A9" s="35" t="s">
        <v>17</v>
      </c>
      <c r="B9" s="37">
        <v>0.1</v>
      </c>
      <c r="C9" s="28">
        <f>+C8-D8</f>
        <v>17412.164999999997</v>
      </c>
      <c r="D9" s="28">
        <f>+C9*B9</f>
        <v>1741.2164999999998</v>
      </c>
      <c r="E9" s="28">
        <f>+D9/12</f>
        <v>145.10137499999999</v>
      </c>
      <c r="F9" s="59">
        <v>0.03</v>
      </c>
    </row>
    <row r="10" spans="1:13" ht="21.6" customHeight="1" x14ac:dyDescent="0.25">
      <c r="A10" s="38"/>
      <c r="B10" s="39"/>
      <c r="C10" s="39"/>
      <c r="D10" s="39"/>
      <c r="E10" s="29"/>
      <c r="F10" s="29"/>
    </row>
    <row r="11" spans="1:13" x14ac:dyDescent="0.2">
      <c r="C11" s="29"/>
      <c r="D11" s="51">
        <v>3.5000000000000003E-2</v>
      </c>
      <c r="E11" s="52">
        <v>5.0000000000000001E-3</v>
      </c>
      <c r="F11" s="53">
        <v>0.5</v>
      </c>
      <c r="G11" s="53"/>
      <c r="H11" s="54">
        <v>0.12</v>
      </c>
      <c r="K11" s="78" t="s">
        <v>27</v>
      </c>
      <c r="L11" s="79"/>
      <c r="M11" s="80"/>
    </row>
    <row r="12" spans="1:13" ht="49.5" customHeight="1" x14ac:dyDescent="0.25">
      <c r="A12" s="46" t="s">
        <v>26</v>
      </c>
      <c r="B12" s="44" t="s">
        <v>0</v>
      </c>
      <c r="C12" s="43" t="s">
        <v>32</v>
      </c>
      <c r="D12" s="43" t="s">
        <v>3</v>
      </c>
      <c r="E12" s="43" t="s">
        <v>4</v>
      </c>
      <c r="F12" s="43" t="s">
        <v>5</v>
      </c>
      <c r="G12" s="43" t="s">
        <v>6</v>
      </c>
      <c r="H12" s="43" t="s">
        <v>7</v>
      </c>
      <c r="I12" s="43" t="s">
        <v>33</v>
      </c>
      <c r="K12" s="43" t="s">
        <v>34</v>
      </c>
      <c r="L12" s="44" t="s">
        <v>28</v>
      </c>
      <c r="M12" s="43" t="s">
        <v>29</v>
      </c>
    </row>
    <row r="13" spans="1:13" x14ac:dyDescent="0.25">
      <c r="A13" s="47">
        <v>1</v>
      </c>
      <c r="B13" s="45">
        <f>+C6</f>
        <v>25290</v>
      </c>
      <c r="C13" s="48">
        <f t="shared" ref="C13:C24" si="0">+B13*($F$6/12)</f>
        <v>63.225000000000001</v>
      </c>
      <c r="D13" s="45">
        <f t="shared" ref="D13:D24" si="1">+C13*$D$11</f>
        <v>2.2128750000000004</v>
      </c>
      <c r="E13" s="45">
        <f t="shared" ref="E13:E24" si="2">+C13*$E$11</f>
        <v>0.31612499999999999</v>
      </c>
      <c r="F13" s="45">
        <f t="shared" ref="F13:F24" si="3">+$F$11</f>
        <v>0.5</v>
      </c>
      <c r="G13" s="45">
        <f>+SUM(C13:F13)</f>
        <v>66.254000000000005</v>
      </c>
      <c r="H13" s="49">
        <f t="shared" ref="H13:H24" si="4">+G13*$H$11</f>
        <v>7.9504800000000007</v>
      </c>
      <c r="I13" s="50">
        <f>+G13+H13</f>
        <v>74.204480000000004</v>
      </c>
      <c r="K13" s="45">
        <f t="shared" ref="K13:K60" si="5">$I$5</f>
        <v>58.171578069499986</v>
      </c>
      <c r="L13" s="45">
        <f>K13-I13</f>
        <v>-16.032901930500017</v>
      </c>
      <c r="M13" s="45">
        <f>+L13</f>
        <v>-16.032901930500017</v>
      </c>
    </row>
    <row r="14" spans="1:13" x14ac:dyDescent="0.25">
      <c r="A14" s="47">
        <v>2</v>
      </c>
      <c r="B14" s="45">
        <f t="shared" ref="B14:B24" si="6">+B13-E$6</f>
        <v>24973.875</v>
      </c>
      <c r="C14" s="49">
        <f t="shared" si="0"/>
        <v>62.434687500000003</v>
      </c>
      <c r="D14" s="45">
        <f t="shared" si="1"/>
        <v>2.1852140625000005</v>
      </c>
      <c r="E14" s="45">
        <f t="shared" si="2"/>
        <v>0.31217343750000004</v>
      </c>
      <c r="F14" s="45">
        <f t="shared" si="3"/>
        <v>0.5</v>
      </c>
      <c r="G14" s="45">
        <f t="shared" ref="G14:G24" si="7">+SUM(C14:F14)</f>
        <v>65.432074999999998</v>
      </c>
      <c r="H14" s="49">
        <f t="shared" si="4"/>
        <v>7.8518489999999996</v>
      </c>
      <c r="I14" s="50">
        <f t="shared" ref="I14:I24" si="8">+G14+H14</f>
        <v>73.283923999999999</v>
      </c>
      <c r="K14" s="45">
        <f t="shared" si="5"/>
        <v>58.171578069499986</v>
      </c>
      <c r="L14" s="45">
        <f t="shared" ref="L14:L61" si="9">K14-I14</f>
        <v>-15.112345930500013</v>
      </c>
      <c r="M14" s="45">
        <f>+M13+L14</f>
        <v>-31.14524786100003</v>
      </c>
    </row>
    <row r="15" spans="1:13" x14ac:dyDescent="0.25">
      <c r="A15" s="47">
        <v>3</v>
      </c>
      <c r="B15" s="45">
        <f t="shared" si="6"/>
        <v>24657.75</v>
      </c>
      <c r="C15" s="49">
        <f t="shared" si="0"/>
        <v>61.644375000000004</v>
      </c>
      <c r="D15" s="45">
        <f t="shared" si="1"/>
        <v>2.1575531250000002</v>
      </c>
      <c r="E15" s="45">
        <f t="shared" si="2"/>
        <v>0.30822187500000003</v>
      </c>
      <c r="F15" s="45">
        <f t="shared" si="3"/>
        <v>0.5</v>
      </c>
      <c r="G15" s="45">
        <f t="shared" si="7"/>
        <v>64.610150000000004</v>
      </c>
      <c r="H15" s="49">
        <f t="shared" si="4"/>
        <v>7.7532180000000004</v>
      </c>
      <c r="I15" s="50">
        <f t="shared" si="8"/>
        <v>72.363368000000008</v>
      </c>
      <c r="K15" s="45">
        <f t="shared" si="5"/>
        <v>58.171578069499986</v>
      </c>
      <c r="L15" s="45">
        <f t="shared" si="9"/>
        <v>-14.191789930500022</v>
      </c>
      <c r="M15" s="45">
        <f>+M14+L15</f>
        <v>-45.337037791500052</v>
      </c>
    </row>
    <row r="16" spans="1:13" x14ac:dyDescent="0.25">
      <c r="A16" s="47">
        <v>4</v>
      </c>
      <c r="B16" s="45">
        <f t="shared" si="6"/>
        <v>24341.625</v>
      </c>
      <c r="C16" s="49">
        <f t="shared" si="0"/>
        <v>60.854062499999998</v>
      </c>
      <c r="D16" s="45">
        <f t="shared" si="1"/>
        <v>2.1298921875000003</v>
      </c>
      <c r="E16" s="45">
        <f t="shared" si="2"/>
        <v>0.30427031249999997</v>
      </c>
      <c r="F16" s="45">
        <f t="shared" si="3"/>
        <v>0.5</v>
      </c>
      <c r="G16" s="45">
        <f t="shared" si="7"/>
        <v>63.788224999999997</v>
      </c>
      <c r="H16" s="49">
        <f t="shared" si="4"/>
        <v>7.6545869999999994</v>
      </c>
      <c r="I16" s="50">
        <f t="shared" si="8"/>
        <v>71.442812000000004</v>
      </c>
      <c r="K16" s="45">
        <f t="shared" si="5"/>
        <v>58.171578069499986</v>
      </c>
      <c r="L16" s="45">
        <f t="shared" si="9"/>
        <v>-13.271233930500017</v>
      </c>
      <c r="M16" s="45">
        <f>+M15+L16</f>
        <v>-58.608271722000069</v>
      </c>
    </row>
    <row r="17" spans="1:13" x14ac:dyDescent="0.25">
      <c r="A17" s="47">
        <v>5</v>
      </c>
      <c r="B17" s="45">
        <f t="shared" si="6"/>
        <v>24025.5</v>
      </c>
      <c r="C17" s="49">
        <f t="shared" si="0"/>
        <v>60.063749999999999</v>
      </c>
      <c r="D17" s="45">
        <f t="shared" si="1"/>
        <v>2.10223125</v>
      </c>
      <c r="E17" s="45">
        <f t="shared" si="2"/>
        <v>0.30031875000000002</v>
      </c>
      <c r="F17" s="45">
        <f t="shared" si="3"/>
        <v>0.5</v>
      </c>
      <c r="G17" s="45">
        <f t="shared" si="7"/>
        <v>62.966300000000004</v>
      </c>
      <c r="H17" s="49">
        <f t="shared" si="4"/>
        <v>7.5559560000000001</v>
      </c>
      <c r="I17" s="50">
        <f t="shared" si="8"/>
        <v>70.522255999999999</v>
      </c>
      <c r="K17" s="45">
        <f t="shared" si="5"/>
        <v>58.171578069499986</v>
      </c>
      <c r="L17" s="45">
        <f t="shared" si="9"/>
        <v>-12.350677930500012</v>
      </c>
      <c r="M17" s="45">
        <f>+M16+L17</f>
        <v>-70.958949652500081</v>
      </c>
    </row>
    <row r="18" spans="1:13" x14ac:dyDescent="0.25">
      <c r="A18" s="47">
        <v>6</v>
      </c>
      <c r="B18" s="45">
        <f t="shared" si="6"/>
        <v>23709.375</v>
      </c>
      <c r="C18" s="49">
        <f t="shared" si="0"/>
        <v>59.2734375</v>
      </c>
      <c r="D18" s="45">
        <f t="shared" si="1"/>
        <v>2.0745703125000001</v>
      </c>
      <c r="E18" s="45">
        <f t="shared" si="2"/>
        <v>0.29636718750000002</v>
      </c>
      <c r="F18" s="45">
        <f t="shared" si="3"/>
        <v>0.5</v>
      </c>
      <c r="G18" s="45">
        <f t="shared" si="7"/>
        <v>62.144375000000004</v>
      </c>
      <c r="H18" s="49">
        <f t="shared" si="4"/>
        <v>7.457325</v>
      </c>
      <c r="I18" s="50">
        <f t="shared" si="8"/>
        <v>69.601700000000008</v>
      </c>
      <c r="K18" s="45">
        <f t="shared" si="5"/>
        <v>58.171578069499986</v>
      </c>
      <c r="L18" s="45">
        <f t="shared" si="9"/>
        <v>-11.430121930500022</v>
      </c>
      <c r="M18" s="45">
        <f t="shared" ref="M18:M24" si="10">+M17+L18</f>
        <v>-82.389071583000103</v>
      </c>
    </row>
    <row r="19" spans="1:13" x14ac:dyDescent="0.25">
      <c r="A19" s="47">
        <v>7</v>
      </c>
      <c r="B19" s="45">
        <f t="shared" si="6"/>
        <v>23393.25</v>
      </c>
      <c r="C19" s="49">
        <f t="shared" si="0"/>
        <v>58.483125000000001</v>
      </c>
      <c r="D19" s="45">
        <f t="shared" si="1"/>
        <v>2.0469093750000003</v>
      </c>
      <c r="E19" s="45">
        <f t="shared" si="2"/>
        <v>0.29241562500000001</v>
      </c>
      <c r="F19" s="45">
        <f t="shared" si="3"/>
        <v>0.5</v>
      </c>
      <c r="G19" s="45">
        <f t="shared" si="7"/>
        <v>61.322449999999996</v>
      </c>
      <c r="H19" s="49">
        <f t="shared" si="4"/>
        <v>7.358693999999999</v>
      </c>
      <c r="I19" s="50">
        <f t="shared" si="8"/>
        <v>68.681143999999989</v>
      </c>
      <c r="K19" s="45">
        <f t="shared" si="5"/>
        <v>58.171578069499986</v>
      </c>
      <c r="L19" s="45">
        <f t="shared" si="9"/>
        <v>-10.509565930500003</v>
      </c>
      <c r="M19" s="45">
        <f t="shared" si="10"/>
        <v>-92.898637513500105</v>
      </c>
    </row>
    <row r="20" spans="1:13" x14ac:dyDescent="0.25">
      <c r="A20" s="47">
        <v>8</v>
      </c>
      <c r="B20" s="45">
        <f t="shared" si="6"/>
        <v>23077.125</v>
      </c>
      <c r="C20" s="49">
        <f t="shared" si="0"/>
        <v>57.692812500000002</v>
      </c>
      <c r="D20" s="45">
        <f t="shared" si="1"/>
        <v>2.0192484375000004</v>
      </c>
      <c r="E20" s="45">
        <f t="shared" si="2"/>
        <v>0.28846406250000001</v>
      </c>
      <c r="F20" s="45">
        <f t="shared" si="3"/>
        <v>0.5</v>
      </c>
      <c r="G20" s="45">
        <f t="shared" si="7"/>
        <v>60.500525000000003</v>
      </c>
      <c r="H20" s="49">
        <f t="shared" si="4"/>
        <v>7.2600629999999997</v>
      </c>
      <c r="I20" s="50">
        <f t="shared" si="8"/>
        <v>67.760587999999998</v>
      </c>
      <c r="K20" s="45">
        <f t="shared" si="5"/>
        <v>58.171578069499986</v>
      </c>
      <c r="L20" s="45">
        <f t="shared" si="9"/>
        <v>-9.589009930500012</v>
      </c>
      <c r="M20" s="45">
        <f t="shared" si="10"/>
        <v>-102.48764744400012</v>
      </c>
    </row>
    <row r="21" spans="1:13" x14ac:dyDescent="0.25">
      <c r="A21" s="47">
        <v>9</v>
      </c>
      <c r="B21" s="45">
        <f t="shared" si="6"/>
        <v>22761</v>
      </c>
      <c r="C21" s="49">
        <f t="shared" si="0"/>
        <v>56.902500000000003</v>
      </c>
      <c r="D21" s="45">
        <f t="shared" si="1"/>
        <v>1.9915875000000003</v>
      </c>
      <c r="E21" s="45">
        <f t="shared" si="2"/>
        <v>0.2845125</v>
      </c>
      <c r="F21" s="45">
        <f t="shared" si="3"/>
        <v>0.5</v>
      </c>
      <c r="G21" s="45">
        <f t="shared" si="7"/>
        <v>59.678600000000003</v>
      </c>
      <c r="H21" s="49">
        <f t="shared" si="4"/>
        <v>7.1614320000000005</v>
      </c>
      <c r="I21" s="50">
        <f t="shared" si="8"/>
        <v>66.840032000000008</v>
      </c>
      <c r="K21" s="45">
        <f t="shared" si="5"/>
        <v>58.171578069499986</v>
      </c>
      <c r="L21" s="45">
        <f t="shared" si="9"/>
        <v>-8.6684539305000214</v>
      </c>
      <c r="M21" s="45">
        <f t="shared" si="10"/>
        <v>-111.15610137450014</v>
      </c>
    </row>
    <row r="22" spans="1:13" x14ac:dyDescent="0.25">
      <c r="A22" s="47">
        <v>10</v>
      </c>
      <c r="B22" s="45">
        <f t="shared" si="6"/>
        <v>22444.875</v>
      </c>
      <c r="C22" s="49">
        <f t="shared" si="0"/>
        <v>56.112187500000005</v>
      </c>
      <c r="D22" s="45">
        <f t="shared" si="1"/>
        <v>1.9639265625000004</v>
      </c>
      <c r="E22" s="45">
        <f t="shared" si="2"/>
        <v>0.28056093750000005</v>
      </c>
      <c r="F22" s="45">
        <f t="shared" si="3"/>
        <v>0.5</v>
      </c>
      <c r="G22" s="45">
        <f t="shared" si="7"/>
        <v>58.856675000000003</v>
      </c>
      <c r="H22" s="49">
        <f t="shared" si="4"/>
        <v>7.0628010000000003</v>
      </c>
      <c r="I22" s="50">
        <f t="shared" si="8"/>
        <v>65.919476000000003</v>
      </c>
      <c r="K22" s="45">
        <f t="shared" si="5"/>
        <v>58.171578069499986</v>
      </c>
      <c r="L22" s="45">
        <f t="shared" si="9"/>
        <v>-7.7478979305000166</v>
      </c>
      <c r="M22" s="45">
        <f t="shared" si="10"/>
        <v>-118.90399930500016</v>
      </c>
    </row>
    <row r="23" spans="1:13" x14ac:dyDescent="0.25">
      <c r="A23" s="47">
        <v>11</v>
      </c>
      <c r="B23" s="45">
        <f t="shared" si="6"/>
        <v>22128.75</v>
      </c>
      <c r="C23" s="49">
        <f t="shared" si="0"/>
        <v>55.321874999999999</v>
      </c>
      <c r="D23" s="45">
        <f t="shared" si="1"/>
        <v>1.9362656250000001</v>
      </c>
      <c r="E23" s="45">
        <f t="shared" si="2"/>
        <v>0.27660937499999999</v>
      </c>
      <c r="F23" s="45">
        <f t="shared" si="3"/>
        <v>0.5</v>
      </c>
      <c r="G23" s="45">
        <f t="shared" si="7"/>
        <v>58.034749999999995</v>
      </c>
      <c r="H23" s="49">
        <f t="shared" si="4"/>
        <v>6.9641699999999993</v>
      </c>
      <c r="I23" s="50">
        <f t="shared" si="8"/>
        <v>64.998919999999998</v>
      </c>
      <c r="K23" s="45">
        <f t="shared" si="5"/>
        <v>58.171578069499986</v>
      </c>
      <c r="L23" s="45">
        <f t="shared" si="9"/>
        <v>-6.8273419305000118</v>
      </c>
      <c r="M23" s="45">
        <f t="shared" si="10"/>
        <v>-125.73134123550017</v>
      </c>
    </row>
    <row r="24" spans="1:13" x14ac:dyDescent="0.25">
      <c r="A24" s="47">
        <v>12</v>
      </c>
      <c r="B24" s="45">
        <f t="shared" si="6"/>
        <v>21812.625</v>
      </c>
      <c r="C24" s="49">
        <f t="shared" si="0"/>
        <v>54.5315625</v>
      </c>
      <c r="D24" s="45">
        <f t="shared" si="1"/>
        <v>1.9086046875000002</v>
      </c>
      <c r="E24" s="45">
        <f t="shared" si="2"/>
        <v>0.27265781249999999</v>
      </c>
      <c r="F24" s="45">
        <f t="shared" si="3"/>
        <v>0.5</v>
      </c>
      <c r="G24" s="45">
        <f t="shared" si="7"/>
        <v>57.212825000000002</v>
      </c>
      <c r="H24" s="49">
        <f t="shared" si="4"/>
        <v>6.8655390000000001</v>
      </c>
      <c r="I24" s="50">
        <f t="shared" si="8"/>
        <v>64.078364000000008</v>
      </c>
      <c r="K24" s="45">
        <f t="shared" si="5"/>
        <v>58.171578069499986</v>
      </c>
      <c r="L24" s="45">
        <f t="shared" si="9"/>
        <v>-5.9067859305000212</v>
      </c>
      <c r="M24" s="45">
        <f t="shared" si="10"/>
        <v>-131.63812716600017</v>
      </c>
    </row>
    <row r="25" spans="1:13" x14ac:dyDescent="0.25">
      <c r="A25" s="47">
        <f>IF($C$3&gt;=2,A24+1,"")</f>
        <v>13</v>
      </c>
      <c r="B25" s="45">
        <f>IF($C$3&gt;=2,C7,"")</f>
        <v>21496.5</v>
      </c>
      <c r="C25" s="49">
        <f t="shared" ref="C25:C36" si="11">IF($C$3&gt;=2,B25*($F$7/12),"")</f>
        <v>53.741250000000001</v>
      </c>
      <c r="D25" s="45">
        <f t="shared" ref="D25:D36" si="12">IF($C$3&gt;=2,C25*$D$11,"")</f>
        <v>1.8809437500000001</v>
      </c>
      <c r="E25" s="45">
        <f t="shared" ref="E25:E36" si="13">IF($C$3&gt;=2,C25*$E$11,"")</f>
        <v>0.26870625000000004</v>
      </c>
      <c r="F25" s="45">
        <f t="shared" ref="F25:F36" si="14">IF($C$3&gt;=2,$F$11,"")</f>
        <v>0.5</v>
      </c>
      <c r="G25" s="45">
        <f>IF($C$3&gt;=2,SUM(C25:F25),"")</f>
        <v>56.390900000000002</v>
      </c>
      <c r="H25" s="49">
        <f t="shared" ref="H25:H36" si="15">IF($C$3&gt;=2,G25*$H$11,"")</f>
        <v>6.7669079999999999</v>
      </c>
      <c r="I25" s="50">
        <f>IF($C$3&gt;=2,G25+H25,"")</f>
        <v>63.157808000000003</v>
      </c>
      <c r="K25" s="45">
        <f t="shared" si="5"/>
        <v>58.171578069499986</v>
      </c>
      <c r="L25" s="45">
        <f t="shared" si="9"/>
        <v>-4.9862299305000164</v>
      </c>
      <c r="M25" s="45">
        <f>IF($C$3&gt;=2,M24+L25,"")</f>
        <v>-136.6243570965002</v>
      </c>
    </row>
    <row r="26" spans="1:13" x14ac:dyDescent="0.25">
      <c r="A26" s="47">
        <f t="shared" ref="A26:A36" si="16">IF($C$3&gt;=2,A25+1,"")</f>
        <v>14</v>
      </c>
      <c r="B26" s="45">
        <f t="shared" ref="B26:B36" si="17">IF($C$3&gt;=2,B25-E$7,"")</f>
        <v>21317.362499999999</v>
      </c>
      <c r="C26" s="49">
        <f t="shared" si="11"/>
        <v>53.293406249999997</v>
      </c>
      <c r="D26" s="45">
        <f t="shared" si="12"/>
        <v>1.86526921875</v>
      </c>
      <c r="E26" s="45">
        <f t="shared" si="13"/>
        <v>0.26646703124999999</v>
      </c>
      <c r="F26" s="45">
        <f t="shared" si="14"/>
        <v>0.5</v>
      </c>
      <c r="G26" s="45">
        <f t="shared" ref="G26:G36" si="18">IF($C$3&gt;=2,SUM(C26:F26),"")</f>
        <v>55.9251425</v>
      </c>
      <c r="H26" s="49">
        <f t="shared" si="15"/>
        <v>6.7110170999999994</v>
      </c>
      <c r="I26" s="50">
        <f t="shared" ref="I26:I36" si="19">IF($C$3&gt;=2,G26+H26,"")</f>
        <v>62.636159599999999</v>
      </c>
      <c r="K26" s="45">
        <f t="shared" si="5"/>
        <v>58.171578069499986</v>
      </c>
      <c r="L26" s="45">
        <f t="shared" si="9"/>
        <v>-4.4645815305000127</v>
      </c>
      <c r="M26" s="45">
        <f t="shared" ref="M26:M36" si="20">IF($C$3&gt;=2,M25+L26,"")</f>
        <v>-141.08893862700023</v>
      </c>
    </row>
    <row r="27" spans="1:13" x14ac:dyDescent="0.25">
      <c r="A27" s="47">
        <f t="shared" si="16"/>
        <v>15</v>
      </c>
      <c r="B27" s="45">
        <f>IF($C$3&gt;=2,B26-E$7,"")</f>
        <v>21138.224999999999</v>
      </c>
      <c r="C27" s="49">
        <f t="shared" si="11"/>
        <v>52.8455625</v>
      </c>
      <c r="D27" s="45">
        <f t="shared" si="12"/>
        <v>1.8495946875000002</v>
      </c>
      <c r="E27" s="45">
        <f t="shared" si="13"/>
        <v>0.26422781249999999</v>
      </c>
      <c r="F27" s="45">
        <f t="shared" si="14"/>
        <v>0.5</v>
      </c>
      <c r="G27" s="45">
        <f t="shared" si="18"/>
        <v>55.459385000000005</v>
      </c>
      <c r="H27" s="49">
        <f t="shared" si="15"/>
        <v>6.6551262000000007</v>
      </c>
      <c r="I27" s="50">
        <f t="shared" si="19"/>
        <v>62.114511200000003</v>
      </c>
      <c r="K27" s="45">
        <f t="shared" si="5"/>
        <v>58.171578069499986</v>
      </c>
      <c r="L27" s="45">
        <f t="shared" si="9"/>
        <v>-3.9429331305000161</v>
      </c>
      <c r="M27" s="45">
        <f t="shared" si="20"/>
        <v>-145.03187175750026</v>
      </c>
    </row>
    <row r="28" spans="1:13" x14ac:dyDescent="0.25">
      <c r="A28" s="47">
        <f t="shared" si="16"/>
        <v>16</v>
      </c>
      <c r="B28" s="45">
        <f t="shared" si="17"/>
        <v>20959.087499999998</v>
      </c>
      <c r="C28" s="49">
        <f t="shared" si="11"/>
        <v>52.397718749999996</v>
      </c>
      <c r="D28" s="45">
        <f t="shared" si="12"/>
        <v>1.83392015625</v>
      </c>
      <c r="E28" s="45">
        <f t="shared" si="13"/>
        <v>0.26198859375</v>
      </c>
      <c r="F28" s="45">
        <f t="shared" si="14"/>
        <v>0.5</v>
      </c>
      <c r="G28" s="45">
        <f t="shared" si="18"/>
        <v>54.993627499999995</v>
      </c>
      <c r="H28" s="49">
        <f t="shared" si="15"/>
        <v>6.5992352999999992</v>
      </c>
      <c r="I28" s="50">
        <f t="shared" si="19"/>
        <v>61.592862799999992</v>
      </c>
      <c r="K28" s="45">
        <f t="shared" si="5"/>
        <v>58.171578069499986</v>
      </c>
      <c r="L28" s="45">
        <f t="shared" si="9"/>
        <v>-3.4212847305000054</v>
      </c>
      <c r="M28" s="45">
        <f t="shared" si="20"/>
        <v>-148.45315648800027</v>
      </c>
    </row>
    <row r="29" spans="1:13" x14ac:dyDescent="0.25">
      <c r="A29" s="47">
        <f t="shared" si="16"/>
        <v>17</v>
      </c>
      <c r="B29" s="45">
        <f t="shared" si="17"/>
        <v>20779.949999999997</v>
      </c>
      <c r="C29" s="49">
        <f t="shared" si="11"/>
        <v>51.949874999999992</v>
      </c>
      <c r="D29" s="45">
        <f t="shared" si="12"/>
        <v>1.8182456249999999</v>
      </c>
      <c r="E29" s="45">
        <f t="shared" si="13"/>
        <v>0.25974937499999995</v>
      </c>
      <c r="F29" s="45">
        <f t="shared" si="14"/>
        <v>0.5</v>
      </c>
      <c r="G29" s="45">
        <f t="shared" si="18"/>
        <v>54.527869999999993</v>
      </c>
      <c r="H29" s="49">
        <f t="shared" si="15"/>
        <v>6.5433443999999987</v>
      </c>
      <c r="I29" s="50">
        <f t="shared" si="19"/>
        <v>61.071214399999988</v>
      </c>
      <c r="K29" s="45">
        <f t="shared" si="5"/>
        <v>58.171578069499986</v>
      </c>
      <c r="L29" s="45">
        <f t="shared" si="9"/>
        <v>-2.8996363305000017</v>
      </c>
      <c r="M29" s="45">
        <f t="shared" si="20"/>
        <v>-151.35279281850029</v>
      </c>
    </row>
    <row r="30" spans="1:13" x14ac:dyDescent="0.25">
      <c r="A30" s="47">
        <f t="shared" si="16"/>
        <v>18</v>
      </c>
      <c r="B30" s="45">
        <f t="shared" si="17"/>
        <v>20600.812499999996</v>
      </c>
      <c r="C30" s="49">
        <f t="shared" si="11"/>
        <v>51.502031249999995</v>
      </c>
      <c r="D30" s="45">
        <f t="shared" si="12"/>
        <v>1.8025710937499999</v>
      </c>
      <c r="E30" s="45">
        <f t="shared" si="13"/>
        <v>0.25751015624999996</v>
      </c>
      <c r="F30" s="45">
        <f t="shared" si="14"/>
        <v>0.5</v>
      </c>
      <c r="G30" s="45">
        <f t="shared" si="18"/>
        <v>54.062112499999991</v>
      </c>
      <c r="H30" s="49">
        <f t="shared" si="15"/>
        <v>6.4874534999999982</v>
      </c>
      <c r="I30" s="50">
        <f t="shared" si="19"/>
        <v>60.549565999999992</v>
      </c>
      <c r="K30" s="45">
        <f t="shared" si="5"/>
        <v>58.171578069499986</v>
      </c>
      <c r="L30" s="45">
        <f t="shared" si="9"/>
        <v>-2.3779879305000051</v>
      </c>
      <c r="M30" s="45">
        <f t="shared" si="20"/>
        <v>-153.7307807490003</v>
      </c>
    </row>
    <row r="31" spans="1:13" x14ac:dyDescent="0.25">
      <c r="A31" s="47">
        <f t="shared" si="16"/>
        <v>19</v>
      </c>
      <c r="B31" s="45">
        <f t="shared" si="17"/>
        <v>20421.674999999996</v>
      </c>
      <c r="C31" s="49">
        <f t="shared" si="11"/>
        <v>51.054187499999991</v>
      </c>
      <c r="D31" s="45">
        <f t="shared" si="12"/>
        <v>1.7868965624999997</v>
      </c>
      <c r="E31" s="45">
        <f t="shared" si="13"/>
        <v>0.25527093749999996</v>
      </c>
      <c r="F31" s="45">
        <f t="shared" si="14"/>
        <v>0.5</v>
      </c>
      <c r="G31" s="45">
        <f t="shared" si="18"/>
        <v>53.596354999999988</v>
      </c>
      <c r="H31" s="49">
        <f t="shared" si="15"/>
        <v>6.4315625999999986</v>
      </c>
      <c r="I31" s="50">
        <f t="shared" si="19"/>
        <v>60.027917599999988</v>
      </c>
      <c r="K31" s="45">
        <f t="shared" si="5"/>
        <v>58.171578069499986</v>
      </c>
      <c r="L31" s="45">
        <f t="shared" si="9"/>
        <v>-1.8563395305000014</v>
      </c>
      <c r="M31" s="45">
        <f t="shared" si="20"/>
        <v>-155.58712027950031</v>
      </c>
    </row>
    <row r="32" spans="1:13" x14ac:dyDescent="0.25">
      <c r="A32" s="47">
        <f t="shared" si="16"/>
        <v>20</v>
      </c>
      <c r="B32" s="45">
        <f t="shared" si="17"/>
        <v>20242.537499999995</v>
      </c>
      <c r="C32" s="49">
        <f t="shared" si="11"/>
        <v>50.606343749999986</v>
      </c>
      <c r="D32" s="45">
        <f t="shared" si="12"/>
        <v>1.7712220312499998</v>
      </c>
      <c r="E32" s="45">
        <f t="shared" si="13"/>
        <v>0.25303171874999991</v>
      </c>
      <c r="F32" s="45">
        <f t="shared" si="14"/>
        <v>0.5</v>
      </c>
      <c r="G32" s="45">
        <f t="shared" si="18"/>
        <v>53.130597499999986</v>
      </c>
      <c r="H32" s="49">
        <f t="shared" si="15"/>
        <v>6.3756716999999981</v>
      </c>
      <c r="I32" s="50">
        <f t="shared" si="19"/>
        <v>59.506269199999984</v>
      </c>
      <c r="K32" s="45">
        <f t="shared" si="5"/>
        <v>58.171578069499986</v>
      </c>
      <c r="L32" s="45">
        <f t="shared" si="9"/>
        <v>-1.3346911304999978</v>
      </c>
      <c r="M32" s="45">
        <f t="shared" si="20"/>
        <v>-156.92181141000032</v>
      </c>
    </row>
    <row r="33" spans="1:13" x14ac:dyDescent="0.25">
      <c r="A33" s="47">
        <f t="shared" si="16"/>
        <v>21</v>
      </c>
      <c r="B33" s="45">
        <f t="shared" si="17"/>
        <v>20063.399999999994</v>
      </c>
      <c r="C33" s="49">
        <f t="shared" si="11"/>
        <v>50.158499999999989</v>
      </c>
      <c r="D33" s="45">
        <f t="shared" si="12"/>
        <v>1.7555474999999998</v>
      </c>
      <c r="E33" s="45">
        <f t="shared" si="13"/>
        <v>0.25079249999999997</v>
      </c>
      <c r="F33" s="45">
        <f t="shared" si="14"/>
        <v>0.5</v>
      </c>
      <c r="G33" s="45">
        <f t="shared" si="18"/>
        <v>52.664839999999991</v>
      </c>
      <c r="H33" s="49">
        <f t="shared" si="15"/>
        <v>6.3197807999999984</v>
      </c>
      <c r="I33" s="50">
        <f t="shared" si="19"/>
        <v>58.984620799999988</v>
      </c>
      <c r="K33" s="45">
        <f t="shared" si="5"/>
        <v>58.171578069499986</v>
      </c>
      <c r="L33" s="45">
        <f t="shared" si="9"/>
        <v>-0.8130427305000012</v>
      </c>
      <c r="M33" s="45">
        <f t="shared" si="20"/>
        <v>-157.73485414050032</v>
      </c>
    </row>
    <row r="34" spans="1:13" x14ac:dyDescent="0.25">
      <c r="A34" s="47">
        <f t="shared" si="16"/>
        <v>22</v>
      </c>
      <c r="B34" s="45">
        <f t="shared" si="17"/>
        <v>19884.262499999993</v>
      </c>
      <c r="C34" s="49">
        <f t="shared" si="11"/>
        <v>49.710656249999985</v>
      </c>
      <c r="D34" s="45">
        <f t="shared" si="12"/>
        <v>1.7398729687499996</v>
      </c>
      <c r="E34" s="45">
        <f t="shared" si="13"/>
        <v>0.24855328124999992</v>
      </c>
      <c r="F34" s="45">
        <f t="shared" si="14"/>
        <v>0.5</v>
      </c>
      <c r="G34" s="45">
        <f t="shared" si="18"/>
        <v>52.199082499999982</v>
      </c>
      <c r="H34" s="49">
        <f t="shared" si="15"/>
        <v>6.2638898999999979</v>
      </c>
      <c r="I34" s="50">
        <f t="shared" si="19"/>
        <v>58.462972399999977</v>
      </c>
      <c r="K34" s="45">
        <f t="shared" si="5"/>
        <v>58.171578069499986</v>
      </c>
      <c r="L34" s="45">
        <f t="shared" si="9"/>
        <v>-0.29139433049999042</v>
      </c>
      <c r="M34" s="45">
        <f t="shared" si="20"/>
        <v>-158.02624847100032</v>
      </c>
    </row>
    <row r="35" spans="1:13" x14ac:dyDescent="0.25">
      <c r="A35" s="47">
        <f t="shared" si="16"/>
        <v>23</v>
      </c>
      <c r="B35" s="45">
        <f t="shared" si="17"/>
        <v>19705.124999999993</v>
      </c>
      <c r="C35" s="49">
        <f t="shared" si="11"/>
        <v>49.262812499999981</v>
      </c>
      <c r="D35" s="45">
        <f t="shared" si="12"/>
        <v>1.7241984374999995</v>
      </c>
      <c r="E35" s="45">
        <f t="shared" si="13"/>
        <v>0.2463140624999999</v>
      </c>
      <c r="F35" s="45">
        <f t="shared" si="14"/>
        <v>0.5</v>
      </c>
      <c r="G35" s="45">
        <f t="shared" si="18"/>
        <v>51.733324999999979</v>
      </c>
      <c r="H35" s="49">
        <f t="shared" si="15"/>
        <v>6.2079989999999974</v>
      </c>
      <c r="I35" s="50">
        <f t="shared" si="19"/>
        <v>57.94132399999998</v>
      </c>
      <c r="K35" s="45">
        <f t="shared" si="5"/>
        <v>58.171578069499986</v>
      </c>
      <c r="L35" s="45">
        <f t="shared" si="9"/>
        <v>0.23025406950000615</v>
      </c>
      <c r="M35" s="45">
        <f t="shared" si="20"/>
        <v>-157.79599440150031</v>
      </c>
    </row>
    <row r="36" spans="1:13" x14ac:dyDescent="0.25">
      <c r="A36" s="47">
        <f t="shared" si="16"/>
        <v>24</v>
      </c>
      <c r="B36" s="45">
        <f t="shared" si="17"/>
        <v>19525.987499999992</v>
      </c>
      <c r="C36" s="49">
        <f t="shared" si="11"/>
        <v>48.814968749999984</v>
      </c>
      <c r="D36" s="45">
        <f t="shared" si="12"/>
        <v>1.7085239062499995</v>
      </c>
      <c r="E36" s="45">
        <f t="shared" si="13"/>
        <v>0.24407484374999994</v>
      </c>
      <c r="F36" s="45">
        <f t="shared" si="14"/>
        <v>0.5</v>
      </c>
      <c r="G36" s="45">
        <f t="shared" si="18"/>
        <v>51.267567499999984</v>
      </c>
      <c r="H36" s="49">
        <f t="shared" si="15"/>
        <v>6.1521080999999977</v>
      </c>
      <c r="I36" s="50">
        <f t="shared" si="19"/>
        <v>57.419675599999984</v>
      </c>
      <c r="K36" s="45">
        <f t="shared" si="5"/>
        <v>58.171578069499986</v>
      </c>
      <c r="L36" s="45">
        <f t="shared" si="9"/>
        <v>0.75190246950000272</v>
      </c>
      <c r="M36" s="45">
        <f t="shared" si="20"/>
        <v>-157.0440919320003</v>
      </c>
    </row>
    <row r="37" spans="1:13" x14ac:dyDescent="0.25">
      <c r="A37" s="47">
        <f>IF($C$3&gt;=3,A36+1,"")</f>
        <v>25</v>
      </c>
      <c r="B37" s="45">
        <f>IF($C$3&gt;=3,C8,"")</f>
        <v>19346.849999999999</v>
      </c>
      <c r="C37" s="49">
        <f t="shared" ref="C37:C48" si="21">IF($C$3&gt;=3,B37*($F$8/12),"")</f>
        <v>48.367124999999994</v>
      </c>
      <c r="D37" s="45">
        <f t="shared" ref="D37:D48" si="22">IF($C$3&gt;=3,C37*$D$11,"")</f>
        <v>1.692849375</v>
      </c>
      <c r="E37" s="45">
        <f t="shared" ref="E37:E48" si="23">IF($C$3&gt;=3,C37*$E$11,"")</f>
        <v>0.24183562499999997</v>
      </c>
      <c r="F37" s="45">
        <f t="shared" ref="F37:F48" si="24">IF($C$3&gt;=3,$F$11,"")</f>
        <v>0.5</v>
      </c>
      <c r="G37" s="45">
        <f>IF($C$3&gt;=3,SUM(C37:F37),"")</f>
        <v>50.801809999999996</v>
      </c>
      <c r="H37" s="49">
        <f t="shared" ref="H37:H48" si="25">IF($C$3&gt;=3,G37*$H$11,"")</f>
        <v>6.096217199999999</v>
      </c>
      <c r="I37" s="50">
        <f>IF($C$3&gt;=3,G37+H37,"")</f>
        <v>56.898027199999994</v>
      </c>
      <c r="K37" s="45">
        <f t="shared" si="5"/>
        <v>58.171578069499986</v>
      </c>
      <c r="L37" s="45">
        <f t="shared" si="9"/>
        <v>1.2735508694999922</v>
      </c>
      <c r="M37" s="45">
        <f>IF($C$3&gt;=3,M36+L37,"")</f>
        <v>-155.77054106250031</v>
      </c>
    </row>
    <row r="38" spans="1:13" x14ac:dyDescent="0.25">
      <c r="A38" s="47">
        <f t="shared" ref="A38:A48" si="26">IF($C$3&gt;=3,A37+1,"")</f>
        <v>26</v>
      </c>
      <c r="B38" s="45">
        <f t="shared" ref="B38:B46" si="27">IF($C$3&gt;=3,B37-E$8,"")</f>
        <v>19185.626249999998</v>
      </c>
      <c r="C38" s="49">
        <f t="shared" si="21"/>
        <v>47.964065624999996</v>
      </c>
      <c r="D38" s="45">
        <f t="shared" si="22"/>
        <v>1.6787422968750001</v>
      </c>
      <c r="E38" s="45">
        <f t="shared" si="23"/>
        <v>0.23982032812499998</v>
      </c>
      <c r="F38" s="45">
        <f t="shared" si="24"/>
        <v>0.5</v>
      </c>
      <c r="G38" s="45">
        <f t="shared" ref="G38:G48" si="28">IF($C$3&gt;=3,SUM(C38:F38),"")</f>
        <v>50.382628249999996</v>
      </c>
      <c r="H38" s="49">
        <f t="shared" si="25"/>
        <v>6.0459153899999993</v>
      </c>
      <c r="I38" s="50">
        <f t="shared" ref="I38:I48" si="29">IF($C$3&gt;=3,G38+H38,"")</f>
        <v>56.428543639999994</v>
      </c>
      <c r="K38" s="45">
        <f t="shared" si="5"/>
        <v>58.171578069499986</v>
      </c>
      <c r="L38" s="45">
        <f t="shared" si="9"/>
        <v>1.7430344294999927</v>
      </c>
      <c r="M38" s="45">
        <f t="shared" ref="M38:M48" si="30">IF($C$3&gt;=3,M37+L38,"")</f>
        <v>-154.02750663300031</v>
      </c>
    </row>
    <row r="39" spans="1:13" x14ac:dyDescent="0.25">
      <c r="A39" s="47">
        <f t="shared" si="26"/>
        <v>27</v>
      </c>
      <c r="B39" s="45">
        <f t="shared" si="27"/>
        <v>19024.402499999997</v>
      </c>
      <c r="C39" s="49">
        <f t="shared" si="21"/>
        <v>47.561006249999991</v>
      </c>
      <c r="D39" s="45">
        <f t="shared" si="22"/>
        <v>1.6646352187499998</v>
      </c>
      <c r="E39" s="45">
        <f t="shared" si="23"/>
        <v>0.23780503124999997</v>
      </c>
      <c r="F39" s="45">
        <f t="shared" si="24"/>
        <v>0.5</v>
      </c>
      <c r="G39" s="45">
        <f t="shared" si="28"/>
        <v>49.963446499999989</v>
      </c>
      <c r="H39" s="49">
        <f t="shared" si="25"/>
        <v>5.9956135799999988</v>
      </c>
      <c r="I39" s="50">
        <f t="shared" si="29"/>
        <v>55.959060079999986</v>
      </c>
      <c r="K39" s="45">
        <f t="shared" si="5"/>
        <v>58.171578069499986</v>
      </c>
      <c r="L39" s="45">
        <f t="shared" si="9"/>
        <v>2.2125179895000002</v>
      </c>
      <c r="M39" s="45">
        <f t="shared" si="30"/>
        <v>-151.81498864350033</v>
      </c>
    </row>
    <row r="40" spans="1:13" x14ac:dyDescent="0.25">
      <c r="A40" s="47">
        <f t="shared" si="26"/>
        <v>28</v>
      </c>
      <c r="B40" s="45">
        <f t="shared" si="27"/>
        <v>18863.178749999995</v>
      </c>
      <c r="C40" s="49">
        <f t="shared" si="21"/>
        <v>47.157946874999986</v>
      </c>
      <c r="D40" s="45">
        <f t="shared" si="22"/>
        <v>1.6505281406249996</v>
      </c>
      <c r="E40" s="45">
        <f t="shared" si="23"/>
        <v>0.23578973437499995</v>
      </c>
      <c r="F40" s="45">
        <f t="shared" si="24"/>
        <v>0.5</v>
      </c>
      <c r="G40" s="45">
        <f t="shared" si="28"/>
        <v>49.544264749999982</v>
      </c>
      <c r="H40" s="49">
        <f t="shared" si="25"/>
        <v>5.9453117699999973</v>
      </c>
      <c r="I40" s="50">
        <f t="shared" si="29"/>
        <v>55.489576519999979</v>
      </c>
      <c r="K40" s="45">
        <f t="shared" si="5"/>
        <v>58.171578069499986</v>
      </c>
      <c r="L40" s="45">
        <f t="shared" si="9"/>
        <v>2.6820015495000078</v>
      </c>
      <c r="M40" s="45">
        <f t="shared" si="30"/>
        <v>-149.13298709400033</v>
      </c>
    </row>
    <row r="41" spans="1:13" x14ac:dyDescent="0.25">
      <c r="A41" s="47">
        <f t="shared" si="26"/>
        <v>29</v>
      </c>
      <c r="B41" s="45">
        <f t="shared" si="27"/>
        <v>18701.954999999994</v>
      </c>
      <c r="C41" s="49">
        <f t="shared" si="21"/>
        <v>46.754887499999988</v>
      </c>
      <c r="D41" s="45">
        <f t="shared" si="22"/>
        <v>1.6364210624999997</v>
      </c>
      <c r="E41" s="45">
        <f t="shared" si="23"/>
        <v>0.23377443749999993</v>
      </c>
      <c r="F41" s="45">
        <f t="shared" si="24"/>
        <v>0.5</v>
      </c>
      <c r="G41" s="45">
        <f t="shared" si="28"/>
        <v>49.125082999999989</v>
      </c>
      <c r="H41" s="49">
        <f t="shared" si="25"/>
        <v>5.8950099599999986</v>
      </c>
      <c r="I41" s="50">
        <f t="shared" si="29"/>
        <v>55.020092959999985</v>
      </c>
      <c r="K41" s="45">
        <f t="shared" si="5"/>
        <v>58.171578069499986</v>
      </c>
      <c r="L41" s="45">
        <f t="shared" si="9"/>
        <v>3.1514851095000012</v>
      </c>
      <c r="M41" s="45">
        <f t="shared" si="30"/>
        <v>-145.98150198450031</v>
      </c>
    </row>
    <row r="42" spans="1:13" x14ac:dyDescent="0.25">
      <c r="A42" s="47">
        <f t="shared" si="26"/>
        <v>30</v>
      </c>
      <c r="B42" s="45">
        <f t="shared" si="27"/>
        <v>18540.731249999993</v>
      </c>
      <c r="C42" s="49">
        <f t="shared" si="21"/>
        <v>46.351828124999983</v>
      </c>
      <c r="D42" s="45">
        <f t="shared" si="22"/>
        <v>1.6223139843749996</v>
      </c>
      <c r="E42" s="45">
        <f t="shared" si="23"/>
        <v>0.23175914062499992</v>
      </c>
      <c r="F42" s="45">
        <f t="shared" si="24"/>
        <v>0.5</v>
      </c>
      <c r="G42" s="45">
        <f t="shared" si="28"/>
        <v>48.705901249999982</v>
      </c>
      <c r="H42" s="49">
        <f t="shared" si="25"/>
        <v>5.844708149999998</v>
      </c>
      <c r="I42" s="50">
        <f t="shared" si="29"/>
        <v>54.550609399999978</v>
      </c>
      <c r="K42" s="45">
        <f t="shared" si="5"/>
        <v>58.171578069499986</v>
      </c>
      <c r="L42" s="45">
        <f t="shared" si="9"/>
        <v>3.6209686695000087</v>
      </c>
      <c r="M42" s="45">
        <f t="shared" si="30"/>
        <v>-142.36053331500031</v>
      </c>
    </row>
    <row r="43" spans="1:13" x14ac:dyDescent="0.25">
      <c r="A43" s="47">
        <f t="shared" si="26"/>
        <v>31</v>
      </c>
      <c r="B43" s="45">
        <f t="shared" si="27"/>
        <v>18379.507499999992</v>
      </c>
      <c r="C43" s="49">
        <f t="shared" si="21"/>
        <v>45.948768749999985</v>
      </c>
      <c r="D43" s="45">
        <f t="shared" si="22"/>
        <v>1.6082069062499997</v>
      </c>
      <c r="E43" s="45">
        <f t="shared" si="23"/>
        <v>0.22974384374999993</v>
      </c>
      <c r="F43" s="45">
        <f t="shared" si="24"/>
        <v>0.5</v>
      </c>
      <c r="G43" s="45">
        <f t="shared" si="28"/>
        <v>48.286719499999982</v>
      </c>
      <c r="H43" s="49">
        <f t="shared" si="25"/>
        <v>5.7944063399999974</v>
      </c>
      <c r="I43" s="50">
        <f t="shared" si="29"/>
        <v>54.081125839999977</v>
      </c>
      <c r="K43" s="45">
        <f t="shared" si="5"/>
        <v>58.171578069499986</v>
      </c>
      <c r="L43" s="45">
        <f t="shared" si="9"/>
        <v>4.0904522295000092</v>
      </c>
      <c r="M43" s="45">
        <f t="shared" si="30"/>
        <v>-138.27008108550029</v>
      </c>
    </row>
    <row r="44" spans="1:13" x14ac:dyDescent="0.25">
      <c r="A44" s="47">
        <f t="shared" si="26"/>
        <v>32</v>
      </c>
      <c r="B44" s="45">
        <f t="shared" si="27"/>
        <v>18218.283749999991</v>
      </c>
      <c r="C44" s="49">
        <f t="shared" si="21"/>
        <v>45.54570937499998</v>
      </c>
      <c r="D44" s="45">
        <f t="shared" si="22"/>
        <v>1.5940998281249994</v>
      </c>
      <c r="E44" s="45">
        <f t="shared" si="23"/>
        <v>0.22772854687499991</v>
      </c>
      <c r="F44" s="45">
        <f t="shared" si="24"/>
        <v>0.5</v>
      </c>
      <c r="G44" s="45">
        <f t="shared" si="28"/>
        <v>47.867537749999975</v>
      </c>
      <c r="H44" s="49">
        <f t="shared" si="25"/>
        <v>5.7441045299999969</v>
      </c>
      <c r="I44" s="50">
        <f t="shared" si="29"/>
        <v>53.61164227999997</v>
      </c>
      <c r="K44" s="45">
        <f t="shared" si="5"/>
        <v>58.171578069499986</v>
      </c>
      <c r="L44" s="45">
        <f t="shared" si="9"/>
        <v>4.5599357895000168</v>
      </c>
      <c r="M44" s="45">
        <f t="shared" si="30"/>
        <v>-133.71014529600029</v>
      </c>
    </row>
    <row r="45" spans="1:13" x14ac:dyDescent="0.25">
      <c r="A45" s="47">
        <f t="shared" si="26"/>
        <v>33</v>
      </c>
      <c r="B45" s="45">
        <f t="shared" si="27"/>
        <v>18057.05999999999</v>
      </c>
      <c r="C45" s="49">
        <f t="shared" si="21"/>
        <v>45.142649999999975</v>
      </c>
      <c r="D45" s="45">
        <f t="shared" si="22"/>
        <v>1.5799927499999993</v>
      </c>
      <c r="E45" s="45">
        <f t="shared" si="23"/>
        <v>0.22571324999999987</v>
      </c>
      <c r="F45" s="45">
        <f t="shared" si="24"/>
        <v>0.5</v>
      </c>
      <c r="G45" s="45">
        <f t="shared" si="28"/>
        <v>47.448355999999976</v>
      </c>
      <c r="H45" s="49">
        <f t="shared" si="25"/>
        <v>5.6938027199999972</v>
      </c>
      <c r="I45" s="50">
        <f t="shared" si="29"/>
        <v>53.142158719999969</v>
      </c>
      <c r="K45" s="45">
        <f t="shared" si="5"/>
        <v>58.171578069499986</v>
      </c>
      <c r="L45" s="45">
        <f t="shared" si="9"/>
        <v>5.0294193495000172</v>
      </c>
      <c r="M45" s="45">
        <f t="shared" si="30"/>
        <v>-128.68072594650027</v>
      </c>
    </row>
    <row r="46" spans="1:13" x14ac:dyDescent="0.25">
      <c r="A46" s="47">
        <f t="shared" si="26"/>
        <v>34</v>
      </c>
      <c r="B46" s="45">
        <f t="shared" si="27"/>
        <v>17895.836249999989</v>
      </c>
      <c r="C46" s="49">
        <f t="shared" si="21"/>
        <v>44.739590624999977</v>
      </c>
      <c r="D46" s="45">
        <f t="shared" si="22"/>
        <v>1.5658856718749994</v>
      </c>
      <c r="E46" s="45">
        <f t="shared" si="23"/>
        <v>0.22369795312499988</v>
      </c>
      <c r="F46" s="45">
        <f t="shared" si="24"/>
        <v>0.5</v>
      </c>
      <c r="G46" s="45">
        <f t="shared" si="28"/>
        <v>47.029174249999976</v>
      </c>
      <c r="H46" s="49">
        <f t="shared" si="25"/>
        <v>5.6435009099999967</v>
      </c>
      <c r="I46" s="50">
        <f t="shared" si="29"/>
        <v>52.672675159999969</v>
      </c>
      <c r="K46" s="45">
        <f t="shared" si="5"/>
        <v>58.171578069499986</v>
      </c>
      <c r="L46" s="45">
        <f t="shared" si="9"/>
        <v>5.4989029095000177</v>
      </c>
      <c r="M46" s="45">
        <f t="shared" si="30"/>
        <v>-123.18182303700026</v>
      </c>
    </row>
    <row r="47" spans="1:13" x14ac:dyDescent="0.25">
      <c r="A47" s="47">
        <f t="shared" si="26"/>
        <v>35</v>
      </c>
      <c r="B47" s="45">
        <f>IF($C$3&gt;=3,B46-E$8,"")</f>
        <v>17734.612499999988</v>
      </c>
      <c r="C47" s="49">
        <f t="shared" si="21"/>
        <v>44.336531249999972</v>
      </c>
      <c r="D47" s="45">
        <f t="shared" si="22"/>
        <v>1.5517785937499993</v>
      </c>
      <c r="E47" s="45">
        <f t="shared" si="23"/>
        <v>0.22168265624999986</v>
      </c>
      <c r="F47" s="45">
        <f t="shared" si="24"/>
        <v>0.5</v>
      </c>
      <c r="G47" s="45">
        <f t="shared" si="28"/>
        <v>46.609992499999976</v>
      </c>
      <c r="H47" s="49">
        <f t="shared" si="25"/>
        <v>5.593199099999997</v>
      </c>
      <c r="I47" s="50">
        <f t="shared" si="29"/>
        <v>52.203191599999975</v>
      </c>
      <c r="K47" s="45">
        <f t="shared" si="5"/>
        <v>58.171578069499986</v>
      </c>
      <c r="L47" s="45">
        <f t="shared" si="9"/>
        <v>5.9683864695000111</v>
      </c>
      <c r="M47" s="45">
        <f t="shared" si="30"/>
        <v>-117.21343656750025</v>
      </c>
    </row>
    <row r="48" spans="1:13" x14ac:dyDescent="0.25">
      <c r="A48" s="47">
        <f t="shared" si="26"/>
        <v>36</v>
      </c>
      <c r="B48" s="45">
        <f>IF($C$3&gt;=3,B47-E$8,"")</f>
        <v>17573.388749999987</v>
      </c>
      <c r="C48" s="49">
        <f t="shared" si="21"/>
        <v>43.933471874999967</v>
      </c>
      <c r="D48" s="45">
        <f t="shared" si="22"/>
        <v>1.5376715156249989</v>
      </c>
      <c r="E48" s="45">
        <f t="shared" si="23"/>
        <v>0.21966735937499984</v>
      </c>
      <c r="F48" s="45">
        <f t="shared" si="24"/>
        <v>0.5</v>
      </c>
      <c r="G48" s="45">
        <f t="shared" si="28"/>
        <v>46.190810749999969</v>
      </c>
      <c r="H48" s="49">
        <f t="shared" si="25"/>
        <v>5.5428972899999964</v>
      </c>
      <c r="I48" s="50">
        <f t="shared" si="29"/>
        <v>51.733708039999968</v>
      </c>
      <c r="K48" s="45">
        <f t="shared" si="5"/>
        <v>58.171578069499986</v>
      </c>
      <c r="L48" s="45">
        <f t="shared" si="9"/>
        <v>6.4378700295000186</v>
      </c>
      <c r="M48" s="45">
        <f t="shared" si="30"/>
        <v>-110.77556653800023</v>
      </c>
    </row>
    <row r="49" spans="1:13" x14ac:dyDescent="0.25">
      <c r="A49" s="47">
        <f>IF($C$3&gt;=4,A48+1,"")</f>
        <v>37</v>
      </c>
      <c r="B49" s="61">
        <f>IF($C$3&gt;=3,C9,"")</f>
        <v>17412.164999999997</v>
      </c>
      <c r="C49" s="49">
        <f t="shared" ref="C49:C60" si="31">IF($C$3&gt;=4,B49*($F$9/12),"")</f>
        <v>43.530412499999997</v>
      </c>
      <c r="D49" s="45">
        <f t="shared" ref="D49:D60" si="32">IF($C$3&gt;=4,C49*$D$11,"")</f>
        <v>1.5235644375000001</v>
      </c>
      <c r="E49" s="45">
        <f t="shared" ref="E49:E60" si="33">IF($C$3&gt;=4,C49*$E$11,"")</f>
        <v>0.21765206249999999</v>
      </c>
      <c r="F49" s="45">
        <f t="shared" ref="F49:F60" si="34">IF($C$3&gt;=4,$F$11,"")</f>
        <v>0.5</v>
      </c>
      <c r="G49" s="45">
        <f>IF($C$3&gt;=4,SUM(C49:F49),"")</f>
        <v>45.771628999999997</v>
      </c>
      <c r="H49" s="49">
        <f t="shared" ref="H49:H60" si="35">IF($C$3&gt;=4,G49*$H$11,"")</f>
        <v>5.4925954799999994</v>
      </c>
      <c r="I49" s="50">
        <f>IF($C$3&gt;=4,G49+H49,"")</f>
        <v>51.264224479999996</v>
      </c>
      <c r="K49" s="45">
        <f t="shared" si="5"/>
        <v>58.171578069499986</v>
      </c>
      <c r="L49" s="45">
        <f t="shared" si="9"/>
        <v>6.9073535894999907</v>
      </c>
      <c r="M49" s="45">
        <f>IF($C$3&gt;=4,M48+L49,"")</f>
        <v>-103.86821294850024</v>
      </c>
    </row>
    <row r="50" spans="1:13" x14ac:dyDescent="0.25">
      <c r="A50" s="47">
        <f t="shared" ref="A50:A60" si="36">IF($C$3&gt;=4,A49+1,"")</f>
        <v>38</v>
      </c>
      <c r="B50" s="61">
        <f>IF($C$3&gt;=4,B49-E$9,"")</f>
        <v>17267.063624999999</v>
      </c>
      <c r="C50" s="49">
        <f t="shared" si="31"/>
        <v>43.1676590625</v>
      </c>
      <c r="D50" s="45">
        <f t="shared" si="32"/>
        <v>1.5108680671875001</v>
      </c>
      <c r="E50" s="45">
        <f t="shared" si="33"/>
        <v>0.21583829531250001</v>
      </c>
      <c r="F50" s="45">
        <f t="shared" si="34"/>
        <v>0.5</v>
      </c>
      <c r="G50" s="45">
        <f t="shared" ref="G50:G60" si="37">IF($C$3&gt;=4,SUM(C50:F50),"")</f>
        <v>45.394365425000004</v>
      </c>
      <c r="H50" s="49">
        <f t="shared" si="35"/>
        <v>5.4473238510000002</v>
      </c>
      <c r="I50" s="50">
        <f t="shared" ref="I50:I60" si="38">IF($C$3&gt;=4,G50+H50,"")</f>
        <v>50.841689276000004</v>
      </c>
      <c r="K50" s="45">
        <f t="shared" si="5"/>
        <v>58.171578069499986</v>
      </c>
      <c r="L50" s="45">
        <f t="shared" si="9"/>
        <v>7.3298887934999826</v>
      </c>
      <c r="M50" s="45">
        <f t="shared" ref="M50:M59" si="39">IF($C$3&gt;=4,M49+L50,"")</f>
        <v>-96.538324155000254</v>
      </c>
    </row>
    <row r="51" spans="1:13" x14ac:dyDescent="0.25">
      <c r="A51" s="47">
        <f t="shared" si="36"/>
        <v>39</v>
      </c>
      <c r="B51" s="61">
        <f t="shared" ref="B51:B60" si="40">IF($C$3&gt;=4,B50-E$9,"")</f>
        <v>17121.96225</v>
      </c>
      <c r="C51" s="49">
        <f t="shared" si="31"/>
        <v>42.804905625000004</v>
      </c>
      <c r="D51" s="45">
        <f t="shared" si="32"/>
        <v>1.4981716968750003</v>
      </c>
      <c r="E51" s="45">
        <f t="shared" si="33"/>
        <v>0.21402452812500003</v>
      </c>
      <c r="F51" s="45">
        <f t="shared" si="34"/>
        <v>0.5</v>
      </c>
      <c r="G51" s="45">
        <f t="shared" si="37"/>
        <v>45.017101850000003</v>
      </c>
      <c r="H51" s="49">
        <f t="shared" si="35"/>
        <v>5.402052222</v>
      </c>
      <c r="I51" s="50">
        <f t="shared" si="38"/>
        <v>50.419154072000005</v>
      </c>
      <c r="K51" s="45">
        <f t="shared" si="5"/>
        <v>58.171578069499986</v>
      </c>
      <c r="L51" s="45">
        <f t="shared" si="9"/>
        <v>7.7524239974999816</v>
      </c>
      <c r="M51" s="45">
        <f t="shared" si="39"/>
        <v>-88.785900157500265</v>
      </c>
    </row>
    <row r="52" spans="1:13" x14ac:dyDescent="0.25">
      <c r="A52" s="47">
        <f t="shared" si="36"/>
        <v>40</v>
      </c>
      <c r="B52" s="61">
        <f t="shared" si="40"/>
        <v>16976.860875000002</v>
      </c>
      <c r="C52" s="49">
        <f t="shared" si="31"/>
        <v>42.442152187500007</v>
      </c>
      <c r="D52" s="45">
        <f t="shared" si="32"/>
        <v>1.4854753265625005</v>
      </c>
      <c r="E52" s="45">
        <f t="shared" si="33"/>
        <v>0.21221076093750005</v>
      </c>
      <c r="F52" s="45">
        <f t="shared" si="34"/>
        <v>0.5</v>
      </c>
      <c r="G52" s="45">
        <f t="shared" si="37"/>
        <v>44.63983827500001</v>
      </c>
      <c r="H52" s="49">
        <f t="shared" si="35"/>
        <v>5.3567805930000008</v>
      </c>
      <c r="I52" s="50">
        <f t="shared" si="38"/>
        <v>49.996618868000013</v>
      </c>
      <c r="K52" s="45">
        <f t="shared" si="5"/>
        <v>58.171578069499986</v>
      </c>
      <c r="L52" s="45">
        <f t="shared" si="9"/>
        <v>8.1749592014999735</v>
      </c>
      <c r="M52" s="45">
        <f t="shared" si="39"/>
        <v>-80.610940956000292</v>
      </c>
    </row>
    <row r="53" spans="1:13" x14ac:dyDescent="0.25">
      <c r="A53" s="47">
        <f t="shared" si="36"/>
        <v>41</v>
      </c>
      <c r="B53" s="61">
        <f t="shared" si="40"/>
        <v>16831.759500000004</v>
      </c>
      <c r="C53" s="49">
        <f t="shared" si="31"/>
        <v>42.07939875000001</v>
      </c>
      <c r="D53" s="45">
        <f t="shared" si="32"/>
        <v>1.4727789562500004</v>
      </c>
      <c r="E53" s="45">
        <f>IF($C$3&gt;=4,C53*$E$11,"")</f>
        <v>0.21039699375000007</v>
      </c>
      <c r="F53" s="45">
        <f t="shared" si="34"/>
        <v>0.5</v>
      </c>
      <c r="G53" s="45">
        <f t="shared" si="37"/>
        <v>44.262574700000016</v>
      </c>
      <c r="H53" s="49">
        <f t="shared" si="35"/>
        <v>5.3115089640000015</v>
      </c>
      <c r="I53" s="50">
        <f t="shared" si="38"/>
        <v>49.574083664000014</v>
      </c>
      <c r="K53" s="45">
        <f t="shared" si="5"/>
        <v>58.171578069499986</v>
      </c>
      <c r="L53" s="45">
        <f t="shared" si="9"/>
        <v>8.5974944054999725</v>
      </c>
      <c r="M53" s="45">
        <f t="shared" si="39"/>
        <v>-72.013446550500319</v>
      </c>
    </row>
    <row r="54" spans="1:13" x14ac:dyDescent="0.25">
      <c r="A54" s="47">
        <f t="shared" si="36"/>
        <v>42</v>
      </c>
      <c r="B54" s="61">
        <f t="shared" si="40"/>
        <v>16686.658125000005</v>
      </c>
      <c r="C54" s="49">
        <f t="shared" si="31"/>
        <v>41.716645312500013</v>
      </c>
      <c r="D54" s="45">
        <f t="shared" si="32"/>
        <v>1.4600825859375006</v>
      </c>
      <c r="E54" s="45">
        <f t="shared" si="33"/>
        <v>0.20858322656250006</v>
      </c>
      <c r="F54" s="45">
        <f t="shared" si="34"/>
        <v>0.5</v>
      </c>
      <c r="G54" s="45">
        <f t="shared" si="37"/>
        <v>43.885311125000015</v>
      </c>
      <c r="H54" s="49">
        <f t="shared" si="35"/>
        <v>5.2662373350000014</v>
      </c>
      <c r="I54" s="50">
        <f t="shared" si="38"/>
        <v>49.151548460000015</v>
      </c>
      <c r="K54" s="45">
        <f t="shared" si="5"/>
        <v>58.171578069499986</v>
      </c>
      <c r="L54" s="45">
        <f t="shared" si="9"/>
        <v>9.0200296094999715</v>
      </c>
      <c r="M54" s="45">
        <f t="shared" si="39"/>
        <v>-62.993416941000348</v>
      </c>
    </row>
    <row r="55" spans="1:13" x14ac:dyDescent="0.25">
      <c r="A55" s="47">
        <f t="shared" si="36"/>
        <v>43</v>
      </c>
      <c r="B55" s="61">
        <f t="shared" si="40"/>
        <v>16541.556750000007</v>
      </c>
      <c r="C55" s="49">
        <f t="shared" si="31"/>
        <v>41.353891875000016</v>
      </c>
      <c r="D55" s="45">
        <f t="shared" si="32"/>
        <v>1.4473862156250008</v>
      </c>
      <c r="E55" s="45">
        <f t="shared" si="33"/>
        <v>0.20676945937500008</v>
      </c>
      <c r="F55" s="45">
        <f t="shared" si="34"/>
        <v>0.5</v>
      </c>
      <c r="G55" s="45">
        <f t="shared" si="37"/>
        <v>43.508047550000022</v>
      </c>
      <c r="H55" s="49">
        <f t="shared" si="35"/>
        <v>5.2209657060000021</v>
      </c>
      <c r="I55" s="50">
        <f t="shared" si="38"/>
        <v>48.729013256000023</v>
      </c>
      <c r="K55" s="45">
        <f t="shared" si="5"/>
        <v>58.171578069499986</v>
      </c>
      <c r="L55" s="45">
        <f t="shared" si="9"/>
        <v>9.4425648134999633</v>
      </c>
      <c r="M55" s="45">
        <f t="shared" si="39"/>
        <v>-53.550852127500384</v>
      </c>
    </row>
    <row r="56" spans="1:13" x14ac:dyDescent="0.25">
      <c r="A56" s="47">
        <f t="shared" si="36"/>
        <v>44</v>
      </c>
      <c r="B56" s="61">
        <f t="shared" si="40"/>
        <v>16396.455375000009</v>
      </c>
      <c r="C56" s="49">
        <f t="shared" si="31"/>
        <v>40.99113843750002</v>
      </c>
      <c r="D56" s="45">
        <f t="shared" si="32"/>
        <v>1.4346898453125008</v>
      </c>
      <c r="E56" s="45">
        <f t="shared" si="33"/>
        <v>0.20495569218750009</v>
      </c>
      <c r="F56" s="45">
        <f t="shared" si="34"/>
        <v>0.5</v>
      </c>
      <c r="G56" s="45">
        <f t="shared" si="37"/>
        <v>43.130783975000014</v>
      </c>
      <c r="H56" s="49">
        <f t="shared" si="35"/>
        <v>5.1756940770000019</v>
      </c>
      <c r="I56" s="50">
        <f t="shared" si="38"/>
        <v>48.306478052000017</v>
      </c>
      <c r="K56" s="45">
        <f t="shared" si="5"/>
        <v>58.171578069499986</v>
      </c>
      <c r="L56" s="45">
        <f t="shared" si="9"/>
        <v>9.8651000174999695</v>
      </c>
      <c r="M56" s="45">
        <f t="shared" si="39"/>
        <v>-43.685752110000415</v>
      </c>
    </row>
    <row r="57" spans="1:13" x14ac:dyDescent="0.25">
      <c r="A57" s="47">
        <f t="shared" si="36"/>
        <v>45</v>
      </c>
      <c r="B57" s="61">
        <f t="shared" si="40"/>
        <v>16251.354000000008</v>
      </c>
      <c r="C57" s="49">
        <f t="shared" si="31"/>
        <v>40.628385000000023</v>
      </c>
      <c r="D57" s="45">
        <f t="shared" si="32"/>
        <v>1.421993475000001</v>
      </c>
      <c r="E57" s="45">
        <f t="shared" si="33"/>
        <v>0.20314192500000011</v>
      </c>
      <c r="F57" s="45">
        <f t="shared" si="34"/>
        <v>0.5</v>
      </c>
      <c r="G57" s="45">
        <f t="shared" si="37"/>
        <v>42.753520400000021</v>
      </c>
      <c r="H57" s="49">
        <f t="shared" si="35"/>
        <v>5.1304224480000027</v>
      </c>
      <c r="I57" s="50">
        <f t="shared" si="38"/>
        <v>47.883942848000025</v>
      </c>
      <c r="K57" s="45">
        <f t="shared" si="5"/>
        <v>58.171578069499986</v>
      </c>
      <c r="L57" s="45">
        <f t="shared" si="9"/>
        <v>10.287635221499961</v>
      </c>
      <c r="M57" s="45">
        <f t="shared" si="39"/>
        <v>-33.398116888500454</v>
      </c>
    </row>
    <row r="58" spans="1:13" x14ac:dyDescent="0.25">
      <c r="A58" s="47">
        <f t="shared" si="36"/>
        <v>46</v>
      </c>
      <c r="B58" s="61">
        <f t="shared" si="40"/>
        <v>16106.252625000008</v>
      </c>
      <c r="C58" s="49">
        <f t="shared" si="31"/>
        <v>40.265631562500019</v>
      </c>
      <c r="D58" s="45">
        <f t="shared" si="32"/>
        <v>1.4092971046875007</v>
      </c>
      <c r="E58" s="45">
        <f t="shared" si="33"/>
        <v>0.2013281578125001</v>
      </c>
      <c r="F58" s="45">
        <f t="shared" si="34"/>
        <v>0.5</v>
      </c>
      <c r="G58" s="45">
        <f t="shared" si="37"/>
        <v>42.37625682500002</v>
      </c>
      <c r="H58" s="49">
        <f t="shared" si="35"/>
        <v>5.0851508190000025</v>
      </c>
      <c r="I58" s="50">
        <f t="shared" si="38"/>
        <v>47.461407644000019</v>
      </c>
      <c r="K58" s="45">
        <f t="shared" si="5"/>
        <v>58.171578069499986</v>
      </c>
      <c r="L58" s="45">
        <f t="shared" si="9"/>
        <v>10.710170425499967</v>
      </c>
      <c r="M58" s="45">
        <f t="shared" si="39"/>
        <v>-22.687946463000486</v>
      </c>
    </row>
    <row r="59" spans="1:13" x14ac:dyDescent="0.25">
      <c r="A59" s="47">
        <f t="shared" si="36"/>
        <v>47</v>
      </c>
      <c r="B59" s="61">
        <f t="shared" si="40"/>
        <v>15961.151250000008</v>
      </c>
      <c r="C59" s="49">
        <f t="shared" si="31"/>
        <v>39.902878125000022</v>
      </c>
      <c r="D59" s="45">
        <f t="shared" si="32"/>
        <v>1.3966007343750009</v>
      </c>
      <c r="E59" s="45">
        <f t="shared" si="33"/>
        <v>0.19951439062500012</v>
      </c>
      <c r="F59" s="45">
        <f t="shared" si="34"/>
        <v>0.5</v>
      </c>
      <c r="G59" s="45">
        <f t="shared" si="37"/>
        <v>41.998993250000019</v>
      </c>
      <c r="H59" s="49">
        <f t="shared" si="35"/>
        <v>5.0398791900000024</v>
      </c>
      <c r="I59" s="50">
        <f t="shared" si="38"/>
        <v>47.03887244000002</v>
      </c>
      <c r="K59" s="45">
        <f t="shared" si="5"/>
        <v>58.171578069499986</v>
      </c>
      <c r="L59" s="45">
        <f t="shared" si="9"/>
        <v>11.132705629499966</v>
      </c>
      <c r="M59" s="45">
        <f t="shared" si="39"/>
        <v>-11.55524083350052</v>
      </c>
    </row>
    <row r="60" spans="1:13" x14ac:dyDescent="0.25">
      <c r="A60" s="47">
        <f t="shared" si="36"/>
        <v>48</v>
      </c>
      <c r="B60" s="61">
        <f t="shared" si="40"/>
        <v>15816.049875000008</v>
      </c>
      <c r="C60" s="49">
        <f t="shared" si="31"/>
        <v>39.540124687500018</v>
      </c>
      <c r="D60" s="45">
        <f t="shared" si="32"/>
        <v>1.3839043640625008</v>
      </c>
      <c r="E60" s="45">
        <f t="shared" si="33"/>
        <v>0.19770062343750008</v>
      </c>
      <c r="F60" s="45">
        <f t="shared" si="34"/>
        <v>0.5</v>
      </c>
      <c r="G60" s="45">
        <f t="shared" si="37"/>
        <v>41.621729675000019</v>
      </c>
      <c r="H60" s="49">
        <f t="shared" si="35"/>
        <v>4.9946075610000022</v>
      </c>
      <c r="I60" s="50">
        <f t="shared" si="38"/>
        <v>46.616337236000021</v>
      </c>
      <c r="K60" s="45">
        <f t="shared" si="5"/>
        <v>58.171578069499986</v>
      </c>
      <c r="L60" s="45">
        <f t="shared" si="9"/>
        <v>11.555240833499965</v>
      </c>
      <c r="M60" s="45">
        <f>IF($C$3&gt;=4,M59+L60,"")</f>
        <v>-5.5422333389287814E-13</v>
      </c>
    </row>
    <row r="61" spans="1:13" x14ac:dyDescent="0.25">
      <c r="C61" s="29"/>
      <c r="D61" s="30"/>
      <c r="H61" s="29"/>
      <c r="I61" s="57">
        <f>SUM(I13:I60)</f>
        <v>2792.2357473359993</v>
      </c>
      <c r="K61" s="62">
        <f>SUM(K13:K60)</f>
        <v>2792.2357473359971</v>
      </c>
      <c r="L61" s="29">
        <f t="shared" si="9"/>
        <v>0</v>
      </c>
    </row>
  </sheetData>
  <mergeCells count="1">
    <mergeCell ref="K11:M11"/>
  </mergeCells>
  <dataValidations count="1">
    <dataValidation type="whole" allowBlank="1" showInputMessage="1" showErrorMessage="1" promptTitle="Mensaje" prompt="Ingrese solo números enteros entre 1 y 4" sqref="C3">
      <formula1>1</formula1>
      <formula2>4</formula2>
    </dataValidation>
  </dataValidations>
  <pageMargins left="0.7" right="0.7" top="0.75" bottom="0.75" header="0.3" footer="0.3"/>
  <pageSetup paperSize="9" orientation="portrait" horizontalDpi="360" verticalDpi="360" r:id="rId1"/>
  <ignoredErrors>
    <ignoredError sqref="C8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tradicional (cálculo)</vt:lpstr>
      <vt:lpstr>nuevo (cálculo)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</dc:creator>
  <cp:lastModifiedBy>CONFIA-ASESOR</cp:lastModifiedBy>
  <cp:lastPrinted>2017-06-09T20:43:43Z</cp:lastPrinted>
  <dcterms:created xsi:type="dcterms:W3CDTF">2017-04-17T17:57:06Z</dcterms:created>
  <dcterms:modified xsi:type="dcterms:W3CDTF">2018-04-03T17:01:16Z</dcterms:modified>
</cp:coreProperties>
</file>